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5d6a5be59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69366ede936244fd"/>
    <x:sheet xmlns:r="http://schemas.openxmlformats.org/officeDocument/2006/relationships" name="Risk Assessment" sheetId="2" r:id="R6057da365b2a438c"/>
    <x:sheet xmlns:r="http://schemas.openxmlformats.org/officeDocument/2006/relationships" name="Actions" sheetId="3" r:id="R40fdf2fec137437a"/>
  </x:sheets>
  <x:definedNames>
    <x:definedName name="_xlnm.Print_Area" localSheetId="0">'Gantt'!$A$1:$N$38</x:definedName>
    <x:definedName name="_xlnm.Print_Area" localSheetId="1">'Risk Assessment'!$A$1:$F$19</x:definedName>
    <x:definedName name="_xlnm.Print_Area" localSheetId="2">'Actions'!$A$1:$G$29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yy"/>
    <x:numFmt numFmtId="201" formatCode="dd mmm yy"/>
    <x:numFmt numFmtId="202" formatCode=";;;"/>
    <x:numFmt numFmtId="203" formatCode="dd mmm yyyy"/>
  </x:numFmts>
  <x:fonts count="8">
    <x:font>
      <x:sz val="11"/>
      <x:name val="Carlito"/>
    </x:font>
    <x:font>
      <x:sz val="12"/>
      <x:color rgb="FF17212F"/>
      <x:name val="Arial"/>
    </x:font>
    <x:font>
      <x:b/>
      <x:sz val="16"/>
      <x:color rgb="FF000000"/>
      <x:name val="Arial"/>
    </x:font>
    <x:font>
      <x:i/>
      <x:sz val="11"/>
      <x:color rgb="FF506070"/>
      <x:name val="Arial"/>
    </x:font>
    <x:font>
      <x:b/>
      <x:sz val="12"/>
      <x:color rgb="FFFFFFFF"/>
      <x:name val="Arial"/>
    </x:font>
    <x:font>
      <x:b/>
      <x:sz val="12"/>
      <x:color rgb="FF24476A"/>
      <x:name val="Arial"/>
    </x:font>
    <x:font>
      <x:i/>
      <x:sz val="12"/>
      <x:color rgb="FF806323"/>
      <x:name val="Arial"/>
    </x:font>
    <x:font>
      <x:b/>
      <x:sz val="12"/>
      <x:color rgb="FF72518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E4EAF0"/>
      </x:patternFill>
    </x:fill>
    <x:fill>
      <x:patternFill patternType="solid">
        <x:fgColor rgb="FFF8F4FA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8DFE6"/>
      </x:bottom>
      <x:diagonal/>
    </x:border>
    <x:border>
      <x:left/>
      <x:right/>
      <x:top style="thin">
        <x:color rgb="FFD8DFE6"/>
      </x:top>
      <x:bottom style="thin">
        <x:color rgb="FFD8DFE6"/>
      </x:bottom>
      <x:diagonal/>
    </x:border>
    <x:border>
      <x:left/>
      <x:right/>
      <x:top style="thin">
        <x:color rgb="FFD8DFE6"/>
      </x:top>
      <x:bottom/>
      <x:diagonal/>
    </x:border>
    <x:border>
      <x:left/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FFFFFF"/>
      </x:bottom>
      <x:diagonal/>
    </x:border>
    <x:border>
      <x:left style="thin">
        <x:color rgb="FFFFFFFF"/>
      </x:left>
      <x:right/>
      <x:top/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/>
      <x:diagonal/>
    </x:border>
    <x:border>
      <x:left style="thin">
        <x:color rgb="FFFFFFFF"/>
      </x:left>
      <x:right/>
      <x:top style="thin">
        <x:color rgb="FFFFFFFF"/>
      </x:top>
      <x:bottom/>
      <x:diagonal/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200" fontId="4" fillId="2" borderId="2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200" fontId="4" fillId="2" borderId="2" xfId="0" applyNumberFormat="1" applyFont="1" applyFill="1" applyBorder="1" applyAlignment="1">
      <x:alignment vertical="center" wrapText="1"/>
    </x:xf>
    <x:xf numFmtId="20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200" fontId="4" fillId="2" borderId="2" xfId="0" applyNumberFormat="1" applyFont="1" applyFill="1" applyBorder="1" applyAlignment="1">
      <x:alignment horizontal="center" vertical="center" wrapText="1"/>
    </x:xf>
    <x:xf numFmtId="200" fontId="4" fillId="2" borderId="3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4" borderId="7" xfId="0" applyNumberFormat="1" applyFont="1" applyFill="1" applyBorder="1" applyAlignment="1">
      <x:alignment vertical="center"/>
    </x:xf>
    <x:xf numFmtId="202" fontId="1" fillId="4" borderId="8" xfId="0" applyNumberFormat="1" applyFont="1" applyFill="1" applyBorder="1" applyAlignment="1">
      <x:alignment vertical="center"/>
    </x:xf>
    <x:xf numFmtId="202" fontId="1" fillId="4" borderId="9" xfId="0" applyNumberFormat="1" applyFont="1" applyFill="1" applyBorder="1" applyAlignment="1">
      <x:alignment vertical="center"/>
    </x:xf>
    <x:xf numFmtId="202" fontId="1" fillId="4" borderId="10" xfId="0" applyNumberFormat="1" applyFont="1" applyFill="1" applyBorder="1" applyAlignment="1">
      <x:alignment vertical="center"/>
    </x:xf>
    <x:xf numFmtId="202" fontId="1" fillId="4" borderId="11" xfId="0" applyNumberFormat="1" applyFont="1" applyFill="1" applyBorder="1" applyAlignment="1">
      <x:alignment vertical="center"/>
    </x:xf>
    <x:xf numFmtId="202" fontId="1" fillId="4" borderId="12" xfId="0" applyNumberFormat="1" applyFont="1" applyFill="1" applyBorder="1" applyAlignment="1">
      <x:alignment vertical="center"/>
    </x:xf>
    <x:xf numFmtId="202" fontId="1" fillId="4" borderId="13" xfId="0" applyNumberFormat="1" applyFont="1" applyFill="1" applyBorder="1" applyAlignment="1">
      <x:alignment vertical="center"/>
    </x:xf>
    <x:xf numFmtId="202" fontId="1" fillId="4" borderId="14" xfId="0" applyNumberFormat="1" applyFont="1" applyFill="1" applyBorder="1" applyAlignment="1">
      <x:alignment vertical="center"/>
    </x:xf>
    <x:xf numFmtId="202" fontId="1" fillId="4" borderId="15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201" fontId="1" fillId="3" borderId="4" xfId="0" applyNumberFormat="1" applyFont="1" applyFill="1" applyBorder="1" applyAlignment="1">
      <x:alignment vertical="top" wrapText="1"/>
    </x:xf>
    <x:xf numFmtId="201" fontId="1" fillId="3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FF24476A"/>
        </x:patternFill>
      </x:fill>
    </x:dxf>
    <x:dxf>
      <x:font>
        <x:b/>
        <x:color rgb="FF9C2720"/>
      </x:font>
      <x:fill>
        <x:patternFill patternType="solid">
          <x:bgColor rgb="FFF9D6D2"/>
        </x:patternFill>
      </x:fill>
    </x:dxf>
    <x:dxf>
      <x:font>
        <x:b/>
        <x:color rgb="FF553569"/>
      </x:font>
      <x:fill>
        <x:patternFill patternType="solid">
          <x:bgColor rgb="FFE9DEEF"/>
        </x:patternFill>
      </x:fill>
    </x:dxf>
    <x:dxf>
      <x:fill>
        <x:patternFill patternType="solid">
          <x:bgColor rgb="FFB9C2CC"/>
        </x:patternFill>
      </x:fill>
    </x:dxf>
    <x:dxf>
      <x:fill>
        <x:patternFill patternType="solid">
          <x:bgColor rgb="FFD7A947"/>
        </x:patternFill>
      </x:fill>
    </x:dxf>
    <x:dxf>
      <x:font>
        <x:color rgb="FF30502C"/>
      </x:font>
      <x:fill>
        <x:patternFill patternType="solid">
          <x:bgColor rgb="FFE2EEDC"/>
        </x:patternFill>
      </x:fill>
    </x:dxf>
    <x:dxf>
      <x:font>
        <x:color rgb="FF74541B"/>
      </x:font>
      <x:fill>
        <x:patternFill patternType="solid">
          <x:bgColor rgb="FFF9E6BD"/>
        </x:patternFill>
      </x:fill>
    </x:dxf>
    <x:dxf>
      <x:font>
        <x:color rgb="FF972E24"/>
      </x:font>
      <x:fill>
        <x:patternFill patternType="solid">
          <x:bgColor rgb="FFF8D5D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69b2ac6ff41a9" /><Relationship Type="http://schemas.openxmlformats.org/officeDocument/2006/relationships/theme" Target="/xl/theme/theme1.xml" Id="Ref0e853eb01b400d" /><Relationship Type="http://schemas.openxmlformats.org/officeDocument/2006/relationships/sharedStrings" Target="/xl/sharedStrings.xml" Id="R39e85f15f8204787" /><Relationship Type="http://schemas.openxmlformats.org/officeDocument/2006/relationships/worksheet" Target="/xl/worksheets/sheet1.xml" Id="R69366ede936244fd" /><Relationship Type="http://schemas.openxmlformats.org/officeDocument/2006/relationships/worksheet" Target="/xl/worksheets/sheet2.xml" Id="R6057da365b2a438c" /><Relationship Type="http://schemas.openxmlformats.org/officeDocument/2006/relationships/worksheet" Target="/xl/worksheets/sheet3.xml" Id="R40fdf2fec13743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476A"/>
    <x:pageSetUpPr fitToPage="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.5" hidden="0" customWidth="1"/>
    <x:col min="2" max="2" width="37.5" hidden="0" customWidth="1"/>
    <x:col min="3" max="3" width="12" hidden="0" customWidth="1"/>
    <x:col min="4" max="4" width="12" hidden="0" customWidth="1"/>
    <x:col min="5" max="5" width="6.25" hidden="0" customWidth="1"/>
    <x:col min="6" max="6" width="9.380000114440918" hidden="0" customWidth="1"/>
    <x:col min="7" max="7" width="8.75" hidden="0" customWidth="1"/>
    <x:col min="8" max="8" width="8.75" hidden="0" customWidth="1"/>
    <x:col min="9" max="9" width="8.75" hidden="0" customWidth="1"/>
    <x:col min="10" max="10" width="8.75" hidden="0" customWidth="1"/>
    <x:col min="11" max="11" width="8.75" hidden="0" customWidth="1"/>
    <x:col min="12" max="12" width="8.75" hidden="0" customWidth="1"/>
    <x:col min="13" max="13" width="8.75" hidden="0" customWidth="1"/>
    <x:col min="14" max="14" width="8.75" hidden="0" customWidth="1"/>
  </x:cols>
  <x:sheetData>
    <x:row r="1" ht="5.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5.5" customHeight="1">
      <x:c r="A2" s="3" t="str">
        <x:v>KUKA Project Gantt Chart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19.5" customHeight="1">
      <x:c r="A3" s="5" t="str">
        <x:v>EG-353 2026/27. Yellow dates are editable planning inputs. All submission dates require confirmation.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 ht="19.5" customHeight="1">
      <x:c r="A4" s="5" t="str">
        <x:v>Month boundaries and month-end milestones are plotting placeholders. Exam and spring-break periods are provisional.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5.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8.5" customHeight="1">
      <x:c r="A6" s="19" t="str">
        <x:v>ID</x:v>
      </x:c>
      <x:c r="B6" s="20" t="str">
        <x:v>Activity</x:v>
      </x:c>
      <x:c r="C6" s="20" t="str">
        <x:v>Start</x:v>
      </x:c>
      <x:c r="D6" s="20" t="str">
        <x:v>Finish</x:v>
      </x:c>
      <x:c r="E6" s="20" t="str">
        <x:v>Mo.</x:v>
      </x:c>
      <x:c r="F6" s="20" t="str">
        <x:v>Type</x:v>
      </x:c>
      <x:c r="G6" s="21" t="n">
        <x:v>46296</x:v>
      </x:c>
      <x:c r="H6" s="21" t="n">
        <x:v>46327</x:v>
      </x:c>
      <x:c r="I6" s="21" t="n">
        <x:v>46357</x:v>
      </x:c>
      <x:c r="J6" s="21" t="n">
        <x:v>46388</x:v>
      </x:c>
      <x:c r="K6" s="21" t="n">
        <x:v>46419</x:v>
      </x:c>
      <x:c r="L6" s="21" t="n">
        <x:v>46447</x:v>
      </x:c>
      <x:c r="M6" s="21" t="n">
        <x:v>46478</x:v>
      </x:c>
      <x:c r="N6" s="22" t="n">
        <x:v>46508</x:v>
      </x:c>
    </x:row>
    <x:row r="7" ht="15.75" customHeight="1">
      <x:c r="A7" s="26" t="str">
        <x:v>T1</x:v>
      </x:c>
      <x:c r="B7" s="26" t="str">
        <x:v>Background research</x:v>
      </x:c>
      <x:c r="C7" s="24" t="n">
        <x:v>46296</x:v>
      </x:c>
      <x:c r="D7" s="24" t="n">
        <x:v>46387</x:v>
      </x:c>
      <x:c r="E7" s="25" t="n">
        <x:f>IF(OR(C7="",D7=""),"",IF(D7&lt;C7,"Check",(YEAR(D7)-YEAR(C7))*12+MONTH(D7)-MONTH(C7)+1))</x:f>
        <x:v>3</x:v>
      </x:c>
      <x:c r="F7" s="25" t="str">
        <x:v>Task</x:v>
      </x:c>
      <x:c r="G7" s="31" t="n">
        <x:f>IF(OR($C7="",$D7=""),"",IF($D7&lt;$C7,"",IF(AND(G$6&lt;=$D7,EOMONTH(G$6,0)&gt;=$C7),1,0)))</x:f>
        <x:v>1</x:v>
      </x:c>
      <x:c r="H7" s="32" t="n">
        <x:f>IF(OR($C7="",$D7=""),"",IF($D7&lt;$C7,"",IF(AND(H$6&lt;=$D7,EOMONTH(H$6,0)&gt;=$C7),1,0)))</x:f>
        <x:v>1</x:v>
      </x:c>
      <x:c r="I7" s="32" t="n">
        <x:f>IF(OR($C7="",$D7=""),"",IF($D7&lt;$C7,"",IF(AND(I$6&lt;=$D7,EOMONTH(I$6,0)&gt;=$C7),1,0)))</x:f>
        <x:v>1</x:v>
      </x:c>
      <x:c r="J7" s="32" t="n">
        <x:f>IF(OR($C7="",$D7=""),"",IF($D7&lt;$C7,"",IF(AND(J$6&lt;=$D7,EOMONTH(J$6,0)&gt;=$C7),1,0)))</x:f>
        <x:v>0</x:v>
      </x:c>
      <x:c r="K7" s="32" t="n">
        <x:f>IF(OR($C7="",$D7=""),"",IF($D7&lt;$C7,"",IF(AND(K$6&lt;=$D7,EOMONTH(K$6,0)&gt;=$C7),1,0)))</x:f>
        <x:v>0</x:v>
      </x:c>
      <x:c r="L7" s="32" t="n">
        <x:f>IF(OR($C7="",$D7=""),"",IF($D7&lt;$C7,"",IF(AND(L$6&lt;=$D7,EOMONTH(L$6,0)&gt;=$C7),1,0)))</x:f>
        <x:v>0</x:v>
      </x:c>
      <x:c r="M7" s="32" t="n">
        <x:f>IF(OR($C7="",$D7=""),"",IF($D7&lt;$C7,"",IF(AND(M$6&lt;=$D7,EOMONTH(M$6,0)&gt;=$C7),1,0)))</x:f>
        <x:v>0</x:v>
      </x:c>
      <x:c r="N7" s="33" t="n">
        <x:f>IF(OR($C7="",$D7=""),"",IF($D7&lt;$C7,"",IF(AND(N$6&lt;=$D7,EOMONTH(N$6,0)&gt;=$C7),1,0)))</x:f>
        <x:v>0</x:v>
      </x:c>
    </x:row>
    <x:row r="8" ht="15.75" customHeight="1">
      <x:c r="A8" s="27" t="str">
        <x:v>T2</x:v>
      </x:c>
      <x:c r="B8" s="27" t="str">
        <x:v>Planning and approvals</x:v>
      </x:c>
      <x:c r="C8" s="24" t="n">
        <x:v>46296</x:v>
      </x:c>
      <x:c r="D8" s="24" t="n">
        <x:v>46356</x:v>
      </x:c>
      <x:c r="E8" s="25" t="n">
        <x:f>IF(OR(C8="",D8=""),"",IF(D8&lt;C8,"Check",(YEAR(D8)-YEAR(C8))*12+MONTH(D8)-MONTH(C8)+1))</x:f>
        <x:v>2</x:v>
      </x:c>
      <x:c r="F8" s="25" t="str">
        <x:v>Task</x:v>
      </x:c>
      <x:c r="G8" s="34" t="n">
        <x:f>IF(OR($C8="",$D8=""),"",IF($D8&lt;$C8,"",IF(AND(G$6&lt;=$D8,EOMONTH(G$6,0)&gt;=$C8),1,0)))</x:f>
        <x:v>1</x:v>
      </x:c>
      <x:c r="H8" s="35" t="n">
        <x:f>IF(OR($C8="",$D8=""),"",IF($D8&lt;$C8,"",IF(AND(H$6&lt;=$D8,EOMONTH(H$6,0)&gt;=$C8),1,0)))</x:f>
        <x:v>1</x:v>
      </x:c>
      <x:c r="I8" s="35" t="n">
        <x:f>IF(OR($C8="",$D8=""),"",IF($D8&lt;$C8,"",IF(AND(I$6&lt;=$D8,EOMONTH(I$6,0)&gt;=$C8),1,0)))</x:f>
        <x:v>0</x:v>
      </x:c>
      <x:c r="J8" s="35" t="n">
        <x:f>IF(OR($C8="",$D8=""),"",IF($D8&lt;$C8,"",IF(AND(J$6&lt;=$D8,EOMONTH(J$6,0)&gt;=$C8),1,0)))</x:f>
        <x:v>0</x:v>
      </x:c>
      <x:c r="K8" s="35" t="n">
        <x:f>IF(OR($C8="",$D8=""),"",IF($D8&lt;$C8,"",IF(AND(K$6&lt;=$D8,EOMONTH(K$6,0)&gt;=$C8),1,0)))</x:f>
        <x:v>0</x:v>
      </x:c>
      <x:c r="L8" s="35" t="n">
        <x:f>IF(OR($C8="",$D8=""),"",IF($D8&lt;$C8,"",IF(AND(L$6&lt;=$D8,EOMONTH(L$6,0)&gt;=$C8),1,0)))</x:f>
        <x:v>0</x:v>
      </x:c>
      <x:c r="M8" s="35" t="n">
        <x:f>IF(OR($C8="",$D8=""),"",IF($D8&lt;$C8,"",IF(AND(M$6&lt;=$D8,EOMONTH(M$6,0)&gt;=$C8),1,0)))</x:f>
        <x:v>0</x:v>
      </x:c>
      <x:c r="N8" s="36" t="n">
        <x:f>IF(OR($C8="",$D8=""),"",IF($D8&lt;$C8,"",IF(AND(N$6&lt;=$D8,EOMONTH(N$6,0)&gt;=$C8),1,0)))</x:f>
        <x:v>0</x:v>
      </x:c>
    </x:row>
    <x:row r="9" ht="15.75" customHeight="1">
      <x:c r="A9" s="27" t="str">
        <x:v>T3</x:v>
      </x:c>
      <x:c r="B9" s="27" t="str">
        <x:v>Simulation validation</x:v>
      </x:c>
      <x:c r="C9" s="24" t="n">
        <x:v>46296</x:v>
      </x:c>
      <x:c r="D9" s="24" t="n">
        <x:v>46356</x:v>
      </x:c>
      <x:c r="E9" s="25" t="n">
        <x:f>IF(OR(C9="",D9=""),"",IF(D9&lt;C9,"Check",(YEAR(D9)-YEAR(C9))*12+MONTH(D9)-MONTH(C9)+1))</x:f>
        <x:v>2</x:v>
      </x:c>
      <x:c r="F9" s="25" t="str">
        <x:v>Task</x:v>
      </x:c>
      <x:c r="G9" s="34" t="n">
        <x:f>IF(OR($C9="",$D9=""),"",IF($D9&lt;$C9,"",IF(AND(G$6&lt;=$D9,EOMONTH(G$6,0)&gt;=$C9),1,0)))</x:f>
        <x:v>1</x:v>
      </x:c>
      <x:c r="H9" s="35" t="n">
        <x:f>IF(OR($C9="",$D9=""),"",IF($D9&lt;$C9,"",IF(AND(H$6&lt;=$D9,EOMONTH(H$6,0)&gt;=$C9),1,0)))</x:f>
        <x:v>1</x:v>
      </x:c>
      <x:c r="I9" s="35" t="n">
        <x:f>IF(OR($C9="",$D9=""),"",IF($D9&lt;$C9,"",IF(AND(I$6&lt;=$D9,EOMONTH(I$6,0)&gt;=$C9),1,0)))</x:f>
        <x:v>0</x:v>
      </x:c>
      <x:c r="J9" s="35" t="n">
        <x:f>IF(OR($C9="",$D9=""),"",IF($D9&lt;$C9,"",IF(AND(J$6&lt;=$D9,EOMONTH(J$6,0)&gt;=$C9),1,0)))</x:f>
        <x:v>0</x:v>
      </x:c>
      <x:c r="K9" s="35" t="n">
        <x:f>IF(OR($C9="",$D9=""),"",IF($D9&lt;$C9,"",IF(AND(K$6&lt;=$D9,EOMONTH(K$6,0)&gt;=$C9),1,0)))</x:f>
        <x:v>0</x:v>
      </x:c>
      <x:c r="L9" s="35" t="n">
        <x:f>IF(OR($C9="",$D9=""),"",IF($D9&lt;$C9,"",IF(AND(L$6&lt;=$D9,EOMONTH(L$6,0)&gt;=$C9),1,0)))</x:f>
        <x:v>0</x:v>
      </x:c>
      <x:c r="M9" s="35" t="n">
        <x:f>IF(OR($C9="",$D9=""),"",IF($D9&lt;$C9,"",IF(AND(M$6&lt;=$D9,EOMONTH(M$6,0)&gt;=$C9),1,0)))</x:f>
        <x:v>0</x:v>
      </x:c>
      <x:c r="N9" s="36" t="n">
        <x:f>IF(OR($C9="",$D9=""),"",IF($D9&lt;$C9,"",IF(AND(N$6&lt;=$D9,EOMONTH(N$6,0)&gt;=$C9),1,0)))</x:f>
        <x:v>0</x:v>
      </x:c>
    </x:row>
    <x:row r="10" ht="15.75" customHeight="1">
      <x:c r="A10" s="27" t="str">
        <x:v>T4</x:v>
      </x:c>
      <x:c r="B10" s="27" t="str">
        <x:v>Data preparation</x:v>
      </x:c>
      <x:c r="C10" s="24" t="n">
        <x:v>46327</x:v>
      </x:c>
      <x:c r="D10" s="24" t="n">
        <x:v>46387</x:v>
      </x:c>
      <x:c r="E10" s="25" t="n">
        <x:f>IF(OR(C10="",D10=""),"",IF(D10&lt;C10,"Check",(YEAR(D10)-YEAR(C10))*12+MONTH(D10)-MONTH(C10)+1))</x:f>
        <x:v>2</x:v>
      </x:c>
      <x:c r="F10" s="25" t="str">
        <x:v>Task</x:v>
      </x:c>
      <x:c r="G10" s="34" t="n">
        <x:f>IF(OR($C10="",$D10=""),"",IF($D10&lt;$C10,"",IF(AND(G$6&lt;=$D10,EOMONTH(G$6,0)&gt;=$C10),1,0)))</x:f>
        <x:v>0</x:v>
      </x:c>
      <x:c r="H10" s="35" t="n">
        <x:f>IF(OR($C10="",$D10=""),"",IF($D10&lt;$C10,"",IF(AND(H$6&lt;=$D10,EOMONTH(H$6,0)&gt;=$C10),1,0)))</x:f>
        <x:v>1</x:v>
      </x:c>
      <x:c r="I10" s="35" t="n">
        <x:f>IF(OR($C10="",$D10=""),"",IF($D10&lt;$C10,"",IF(AND(I$6&lt;=$D10,EOMONTH(I$6,0)&gt;=$C10),1,0)))</x:f>
        <x:v>1</x:v>
      </x:c>
      <x:c r="J10" s="35" t="n">
        <x:f>IF(OR($C10="",$D10=""),"",IF($D10&lt;$C10,"",IF(AND(J$6&lt;=$D10,EOMONTH(J$6,0)&gt;=$C10),1,0)))</x:f>
        <x:v>0</x:v>
      </x:c>
      <x:c r="K10" s="35" t="n">
        <x:f>IF(OR($C10="",$D10=""),"",IF($D10&lt;$C10,"",IF(AND(K$6&lt;=$D10,EOMONTH(K$6,0)&gt;=$C10),1,0)))</x:f>
        <x:v>0</x:v>
      </x:c>
      <x:c r="L10" s="35" t="n">
        <x:f>IF(OR($C10="",$D10=""),"",IF($D10&lt;$C10,"",IF(AND(L$6&lt;=$D10,EOMONTH(L$6,0)&gt;=$C10),1,0)))</x:f>
        <x:v>0</x:v>
      </x:c>
      <x:c r="M10" s="35" t="n">
        <x:f>IF(OR($C10="",$D10=""),"",IF($D10&lt;$C10,"",IF(AND(M$6&lt;=$D10,EOMONTH(M$6,0)&gt;=$C10),1,0)))</x:f>
        <x:v>0</x:v>
      </x:c>
      <x:c r="N10" s="36" t="n">
        <x:f>IF(OR($C10="",$D10=""),"",IF($D10&lt;$C10,"",IF(AND(N$6&lt;=$D10,EOMONTH(N$6,0)&gt;=$C10),1,0)))</x:f>
        <x:v>0</x:v>
      </x:c>
    </x:row>
    <x:row r="11" ht="15.75" customHeight="1">
      <x:c r="A11" s="27" t="str">
        <x:v>T5</x:v>
      </x:c>
      <x:c r="B11" s="27" t="str">
        <x:v>Numerical IK baseline</x:v>
      </x:c>
      <x:c r="C11" s="24" t="n">
        <x:v>46357</x:v>
      </x:c>
      <x:c r="D11" s="24" t="n">
        <x:v>46387</x:v>
      </x:c>
      <x:c r="E11" s="25" t="n">
        <x:f>IF(OR(C11="",D11=""),"",IF(D11&lt;C11,"Check",(YEAR(D11)-YEAR(C11))*12+MONTH(D11)-MONTH(C11)+1))</x:f>
        <x:v>1</x:v>
      </x:c>
      <x:c r="F11" s="25" t="str">
        <x:v>Task</x:v>
      </x:c>
      <x:c r="G11" s="34" t="n">
        <x:f>IF(OR($C11="",$D11=""),"",IF($D11&lt;$C11,"",IF(AND(G$6&lt;=$D11,EOMONTH(G$6,0)&gt;=$C11),1,0)))</x:f>
        <x:v>0</x:v>
      </x:c>
      <x:c r="H11" s="35" t="n">
        <x:f>IF(OR($C11="",$D11=""),"",IF($D11&lt;$C11,"",IF(AND(H$6&lt;=$D11,EOMONTH(H$6,0)&gt;=$C11),1,0)))</x:f>
        <x:v>0</x:v>
      </x:c>
      <x:c r="I11" s="35" t="n">
        <x:f>IF(OR($C11="",$D11=""),"",IF($D11&lt;$C11,"",IF(AND(I$6&lt;=$D11,EOMONTH(I$6,0)&gt;=$C11),1,0)))</x:f>
        <x:v>1</x:v>
      </x:c>
      <x:c r="J11" s="35" t="n">
        <x:f>IF(OR($C11="",$D11=""),"",IF($D11&lt;$C11,"",IF(AND(J$6&lt;=$D11,EOMONTH(J$6,0)&gt;=$C11),1,0)))</x:f>
        <x:v>0</x:v>
      </x:c>
      <x:c r="K11" s="35" t="n">
        <x:f>IF(OR($C11="",$D11=""),"",IF($D11&lt;$C11,"",IF(AND(K$6&lt;=$D11,EOMONTH(K$6,0)&gt;=$C11),1,0)))</x:f>
        <x:v>0</x:v>
      </x:c>
      <x:c r="L11" s="35" t="n">
        <x:f>IF(OR($C11="",$D11=""),"",IF($D11&lt;$C11,"",IF(AND(L$6&lt;=$D11,EOMONTH(L$6,0)&gt;=$C11),1,0)))</x:f>
        <x:v>0</x:v>
      </x:c>
      <x:c r="M11" s="35" t="n">
        <x:f>IF(OR($C11="",$D11=""),"",IF($D11&lt;$C11,"",IF(AND(M$6&lt;=$D11,EOMONTH(M$6,0)&gt;=$C11),1,0)))</x:f>
        <x:v>0</x:v>
      </x:c>
      <x:c r="N11" s="36" t="n">
        <x:f>IF(OR($C11="",$D11=""),"",IF($D11&lt;$C11,"",IF(AND(N$6&lt;=$D11,EOMONTH(N$6,0)&gt;=$C11),1,0)))</x:f>
        <x:v>0</x:v>
      </x:c>
    </x:row>
    <x:row r="12" ht="15.75" customHeight="1">
      <x:c r="A12" s="27" t="str">
        <x:v>T5</x:v>
      </x:c>
      <x:c r="B12" s="27" t="str">
        <x:v>Numerical IK baseline resumed</x:v>
      </x:c>
      <x:c r="C12" s="24" t="n">
        <x:v>46419</x:v>
      </x:c>
      <x:c r="D12" s="24" t="n">
        <x:v>46446</x:v>
      </x:c>
      <x:c r="E12" s="25" t="n">
        <x:f>IF(OR(C12="",D12=""),"",IF(D12&lt;C12,"Check",(YEAR(D12)-YEAR(C12))*12+MONTH(D12)-MONTH(C12)+1))</x:f>
        <x:v>1</x:v>
      </x:c>
      <x:c r="F12" s="25" t="str">
        <x:v>Task</x:v>
      </x:c>
      <x:c r="G12" s="34" t="n">
        <x:f>IF(OR($C12="",$D12=""),"",IF($D12&lt;$C12,"",IF(AND(G$6&lt;=$D12,EOMONTH(G$6,0)&gt;=$C12),1,0)))</x:f>
        <x:v>0</x:v>
      </x:c>
      <x:c r="H12" s="35" t="n">
        <x:f>IF(OR($C12="",$D12=""),"",IF($D12&lt;$C12,"",IF(AND(H$6&lt;=$D12,EOMONTH(H$6,0)&gt;=$C12),1,0)))</x:f>
        <x:v>0</x:v>
      </x:c>
      <x:c r="I12" s="35" t="n">
        <x:f>IF(OR($C12="",$D12=""),"",IF($D12&lt;$C12,"",IF(AND(I$6&lt;=$D12,EOMONTH(I$6,0)&gt;=$C12),1,0)))</x:f>
        <x:v>0</x:v>
      </x:c>
      <x:c r="J12" s="35" t="n">
        <x:f>IF(OR($C12="",$D12=""),"",IF($D12&lt;$C12,"",IF(AND(J$6&lt;=$D12,EOMONTH(J$6,0)&gt;=$C12),1,0)))</x:f>
        <x:v>0</x:v>
      </x:c>
      <x:c r="K12" s="35" t="n">
        <x:f>IF(OR($C12="",$D12=""),"",IF($D12&lt;$C12,"",IF(AND(K$6&lt;=$D12,EOMONTH(K$6,0)&gt;=$C12),1,0)))</x:f>
        <x:v>1</x:v>
      </x:c>
      <x:c r="L12" s="35" t="n">
        <x:f>IF(OR($C12="",$D12=""),"",IF($D12&lt;$C12,"",IF(AND(L$6&lt;=$D12,EOMONTH(L$6,0)&gt;=$C12),1,0)))</x:f>
        <x:v>0</x:v>
      </x:c>
      <x:c r="M12" s="35" t="n">
        <x:f>IF(OR($C12="",$D12=""),"",IF($D12&lt;$C12,"",IF(AND(M$6&lt;=$D12,EOMONTH(M$6,0)&gt;=$C12),1,0)))</x:f>
        <x:v>0</x:v>
      </x:c>
      <x:c r="N12" s="36" t="n">
        <x:f>IF(OR($C12="",$D12=""),"",IF($D12&lt;$C12,"",IF(AND(N$6&lt;=$D12,EOMONTH(N$6,0)&gt;=$C12),1,0)))</x:f>
        <x:v>0</x:v>
      </x:c>
    </x:row>
    <x:row r="13" ht="15.75" customHeight="1">
      <x:c r="A13" s="27" t="str">
        <x:v>T6</x:v>
      </x:c>
      <x:c r="B13" s="27" t="str">
        <x:v>Network training and integration</x:v>
      </x:c>
      <x:c r="C13" s="24" t="n">
        <x:v>46357</x:v>
      </x:c>
      <x:c r="D13" s="24" t="n">
        <x:v>46387</x:v>
      </x:c>
      <x:c r="E13" s="25" t="n">
        <x:f>IF(OR(C13="",D13=""),"",IF(D13&lt;C13,"Check",(YEAR(D13)-YEAR(C13))*12+MONTH(D13)-MONTH(C13)+1))</x:f>
        <x:v>1</x:v>
      </x:c>
      <x:c r="F13" s="25" t="str">
        <x:v>Task</x:v>
      </x:c>
      <x:c r="G13" s="34" t="n">
        <x:f>IF(OR($C13="",$D13=""),"",IF($D13&lt;$C13,"",IF(AND(G$6&lt;=$D13,EOMONTH(G$6,0)&gt;=$C13),1,0)))</x:f>
        <x:v>0</x:v>
      </x:c>
      <x:c r="H13" s="35" t="n">
        <x:f>IF(OR($C13="",$D13=""),"",IF($D13&lt;$C13,"",IF(AND(H$6&lt;=$D13,EOMONTH(H$6,0)&gt;=$C13),1,0)))</x:f>
        <x:v>0</x:v>
      </x:c>
      <x:c r="I13" s="35" t="n">
        <x:f>IF(OR($C13="",$D13=""),"",IF($D13&lt;$C13,"",IF(AND(I$6&lt;=$D13,EOMONTH(I$6,0)&gt;=$C13),1,0)))</x:f>
        <x:v>1</x:v>
      </x:c>
      <x:c r="J13" s="35" t="n">
        <x:f>IF(OR($C13="",$D13=""),"",IF($D13&lt;$C13,"",IF(AND(J$6&lt;=$D13,EOMONTH(J$6,0)&gt;=$C13),1,0)))</x:f>
        <x:v>0</x:v>
      </x:c>
      <x:c r="K13" s="35" t="n">
        <x:f>IF(OR($C13="",$D13=""),"",IF($D13&lt;$C13,"",IF(AND(K$6&lt;=$D13,EOMONTH(K$6,0)&gt;=$C13),1,0)))</x:f>
        <x:v>0</x:v>
      </x:c>
      <x:c r="L13" s="35" t="n">
        <x:f>IF(OR($C13="",$D13=""),"",IF($D13&lt;$C13,"",IF(AND(L$6&lt;=$D13,EOMONTH(L$6,0)&gt;=$C13),1,0)))</x:f>
        <x:v>0</x:v>
      </x:c>
      <x:c r="M13" s="35" t="n">
        <x:f>IF(OR($C13="",$D13=""),"",IF($D13&lt;$C13,"",IF(AND(M$6&lt;=$D13,EOMONTH(M$6,0)&gt;=$C13),1,0)))</x:f>
        <x:v>0</x:v>
      </x:c>
      <x:c r="N13" s="36" t="n">
        <x:f>IF(OR($C13="",$D13=""),"",IF($D13&lt;$C13,"",IF(AND(N$6&lt;=$D13,EOMONTH(N$6,0)&gt;=$C13),1,0)))</x:f>
        <x:v>0</x:v>
      </x:c>
    </x:row>
    <x:row r="14" ht="15.75" customHeight="1">
      <x:c r="A14" s="27" t="str">
        <x:v>T6</x:v>
      </x:c>
      <x:c r="B14" s="27" t="str">
        <x:v>Network and integration resumed</x:v>
      </x:c>
      <x:c r="C14" s="24" t="n">
        <x:v>46419</x:v>
      </x:c>
      <x:c r="D14" s="24" t="n">
        <x:v>46477</x:v>
      </x:c>
      <x:c r="E14" s="25" t="n">
        <x:f>IF(OR(C14="",D14=""),"",IF(D14&lt;C14,"Check",(YEAR(D14)-YEAR(C14))*12+MONTH(D14)-MONTH(C14)+1))</x:f>
        <x:v>2</x:v>
      </x:c>
      <x:c r="F14" s="25" t="str">
        <x:v>Task</x:v>
      </x:c>
      <x:c r="G14" s="34" t="n">
        <x:f>IF(OR($C14="",$D14=""),"",IF($D14&lt;$C14,"",IF(AND(G$6&lt;=$D14,EOMONTH(G$6,0)&gt;=$C14),1,0)))</x:f>
        <x:v>0</x:v>
      </x:c>
      <x:c r="H14" s="35" t="n">
        <x:f>IF(OR($C14="",$D14=""),"",IF($D14&lt;$C14,"",IF(AND(H$6&lt;=$D14,EOMONTH(H$6,0)&gt;=$C14),1,0)))</x:f>
        <x:v>0</x:v>
      </x:c>
      <x:c r="I14" s="35" t="n">
        <x:f>IF(OR($C14="",$D14=""),"",IF($D14&lt;$C14,"",IF(AND(I$6&lt;=$D14,EOMONTH(I$6,0)&gt;=$C14),1,0)))</x:f>
        <x:v>0</x:v>
      </x:c>
      <x:c r="J14" s="35" t="n">
        <x:f>IF(OR($C14="",$D14=""),"",IF($D14&lt;$C14,"",IF(AND(J$6&lt;=$D14,EOMONTH(J$6,0)&gt;=$C14),1,0)))</x:f>
        <x:v>0</x:v>
      </x:c>
      <x:c r="K14" s="35" t="n">
        <x:f>IF(OR($C14="",$D14=""),"",IF($D14&lt;$C14,"",IF(AND(K$6&lt;=$D14,EOMONTH(K$6,0)&gt;=$C14),1,0)))</x:f>
        <x:v>1</x:v>
      </x:c>
      <x:c r="L14" s="35" t="n">
        <x:f>IF(OR($C14="",$D14=""),"",IF($D14&lt;$C14,"",IF(AND(L$6&lt;=$D14,EOMONTH(L$6,0)&gt;=$C14),1,0)))</x:f>
        <x:v>1</x:v>
      </x:c>
      <x:c r="M14" s="35" t="n">
        <x:f>IF(OR($C14="",$D14=""),"",IF($D14&lt;$C14,"",IF(AND(M$6&lt;=$D14,EOMONTH(M$6,0)&gt;=$C14),1,0)))</x:f>
        <x:v>0</x:v>
      </x:c>
      <x:c r="N14" s="36" t="n">
        <x:f>IF(OR($C14="",$D14=""),"",IF($D14&lt;$C14,"",IF(AND(N$6&lt;=$D14,EOMONTH(N$6,0)&gt;=$C14),1,0)))</x:f>
        <x:v>0</x:v>
      </x:c>
    </x:row>
    <x:row r="15" ht="15.75" customHeight="1">
      <x:c r="A15" s="27" t="str">
        <x:v>T7</x:v>
      </x:c>
      <x:c r="B15" s="27" t="str">
        <x:v>Independent evaluation</x:v>
      </x:c>
      <x:c r="C15" s="24" t="n">
        <x:v>46447</x:v>
      </x:c>
      <x:c r="D15" s="24" t="n">
        <x:v>46477</x:v>
      </x:c>
      <x:c r="E15" s="25" t="n">
        <x:f>IF(OR(C15="",D15=""),"",IF(D15&lt;C15,"Check",(YEAR(D15)-YEAR(C15))*12+MONTH(D15)-MONTH(C15)+1))</x:f>
        <x:v>1</x:v>
      </x:c>
      <x:c r="F15" s="25" t="str">
        <x:v>Task</x:v>
      </x:c>
      <x:c r="G15" s="34" t="n">
        <x:f>IF(OR($C15="",$D15=""),"",IF($D15&lt;$C15,"",IF(AND(G$6&lt;=$D15,EOMONTH(G$6,0)&gt;=$C15),1,0)))</x:f>
        <x:v>0</x:v>
      </x:c>
      <x:c r="H15" s="35" t="n">
        <x:f>IF(OR($C15="",$D15=""),"",IF($D15&lt;$C15,"",IF(AND(H$6&lt;=$D15,EOMONTH(H$6,0)&gt;=$C15),1,0)))</x:f>
        <x:v>0</x:v>
      </x:c>
      <x:c r="I15" s="35" t="n">
        <x:f>IF(OR($C15="",$D15=""),"",IF($D15&lt;$C15,"",IF(AND(I$6&lt;=$D15,EOMONTH(I$6,0)&gt;=$C15),1,0)))</x:f>
        <x:v>0</x:v>
      </x:c>
      <x:c r="J15" s="35" t="n">
        <x:f>IF(OR($C15="",$D15=""),"",IF($D15&lt;$C15,"",IF(AND(J$6&lt;=$D15,EOMONTH(J$6,0)&gt;=$C15),1,0)))</x:f>
        <x:v>0</x:v>
      </x:c>
      <x:c r="K15" s="35" t="n">
        <x:f>IF(OR($C15="",$D15=""),"",IF($D15&lt;$C15,"",IF(AND(K$6&lt;=$D15,EOMONTH(K$6,0)&gt;=$C15),1,0)))</x:f>
        <x:v>0</x:v>
      </x:c>
      <x:c r="L15" s="35" t="n">
        <x:f>IF(OR($C15="",$D15=""),"",IF($D15&lt;$C15,"",IF(AND(L$6&lt;=$D15,EOMONTH(L$6,0)&gt;=$C15),1,0)))</x:f>
        <x:v>1</x:v>
      </x:c>
      <x:c r="M15" s="35" t="n">
        <x:f>IF(OR($C15="",$D15=""),"",IF($D15&lt;$C15,"",IF(AND(M$6&lt;=$D15,EOMONTH(M$6,0)&gt;=$C15),1,0)))</x:f>
        <x:v>0</x:v>
      </x:c>
      <x:c r="N15" s="36" t="n">
        <x:f>IF(OR($C15="",$D15=""),"",IF($D15&lt;$C15,"",IF(AND(N$6&lt;=$D15,EOMONTH(N$6,0)&gt;=$C15),1,0)))</x:f>
        <x:v>0</x:v>
      </x:c>
    </x:row>
    <x:row r="16" ht="15.75" customHeight="1">
      <x:c r="A16" s="27" t="str">
        <x:v>T8</x:v>
      </x:c>
      <x:c r="B16" s="27" t="str">
        <x:v>Outline and project records</x:v>
      </x:c>
      <x:c r="C16" s="24" t="n">
        <x:v>46296</x:v>
      </x:c>
      <x:c r="D16" s="24" t="n">
        <x:v>46326</x:v>
      </x:c>
      <x:c r="E16" s="25" t="n">
        <x:f>IF(OR(C16="",D16=""),"",IF(D16&lt;C16,"Check",(YEAR(D16)-YEAR(C16))*12+MONTH(D16)-MONTH(C16)+1))</x:f>
        <x:v>1</x:v>
      </x:c>
      <x:c r="F16" s="25" t="str">
        <x:v>Task</x:v>
      </x:c>
      <x:c r="G16" s="34" t="n">
        <x:f>IF(OR($C16="",$D16=""),"",IF($D16&lt;$C16,"",IF(AND(G$6&lt;=$D16,EOMONTH(G$6,0)&gt;=$C16),1,0)))</x:f>
        <x:v>1</x:v>
      </x:c>
      <x:c r="H16" s="35" t="n">
        <x:f>IF(OR($C16="",$D16=""),"",IF($D16&lt;$C16,"",IF(AND(H$6&lt;=$D16,EOMONTH(H$6,0)&gt;=$C16),1,0)))</x:f>
        <x:v>0</x:v>
      </x:c>
      <x:c r="I16" s="35" t="n">
        <x:f>IF(OR($C16="",$D16=""),"",IF($D16&lt;$C16,"",IF(AND(I$6&lt;=$D16,EOMONTH(I$6,0)&gt;=$C16),1,0)))</x:f>
        <x:v>0</x:v>
      </x:c>
      <x:c r="J16" s="35" t="n">
        <x:f>IF(OR($C16="",$D16=""),"",IF($D16&lt;$C16,"",IF(AND(J$6&lt;=$D16,EOMONTH(J$6,0)&gt;=$C16),1,0)))</x:f>
        <x:v>0</x:v>
      </x:c>
      <x:c r="K16" s="35" t="n">
        <x:f>IF(OR($C16="",$D16=""),"",IF($D16&lt;$C16,"",IF(AND(K$6&lt;=$D16,EOMONTH(K$6,0)&gt;=$C16),1,0)))</x:f>
        <x:v>0</x:v>
      </x:c>
      <x:c r="L16" s="35" t="n">
        <x:f>IF(OR($C16="",$D16=""),"",IF($D16&lt;$C16,"",IF(AND(L$6&lt;=$D16,EOMONTH(L$6,0)&gt;=$C16),1,0)))</x:f>
        <x:v>0</x:v>
      </x:c>
      <x:c r="M16" s="35" t="n">
        <x:f>IF(OR($C16="",$D16=""),"",IF($D16&lt;$C16,"",IF(AND(M$6&lt;=$D16,EOMONTH(M$6,0)&gt;=$C16),1,0)))</x:f>
        <x:v>0</x:v>
      </x:c>
      <x:c r="N16" s="36" t="n">
        <x:f>IF(OR($C16="",$D16=""),"",IF($D16&lt;$C16,"",IF(AND(N$6&lt;=$D16,EOMONTH(N$6,0)&gt;=$C16),1,0)))</x:f>
        <x:v>0</x:v>
      </x:c>
    </x:row>
    <x:row r="17" ht="15.75" customHeight="1">
      <x:c r="A17" s="27" t="str">
        <x:v>T8</x:v>
      </x:c>
      <x:c r="B17" s="27" t="str">
        <x:v>Interim writing and records</x:v>
      </x:c>
      <x:c r="C17" s="24" t="n">
        <x:v>46357</x:v>
      </x:c>
      <x:c r="D17" s="24" t="n">
        <x:v>46387</x:v>
      </x:c>
      <x:c r="E17" s="25" t="n">
        <x:f>IF(OR(C17="",D17=""),"",IF(D17&lt;C17,"Check",(YEAR(D17)-YEAR(C17))*12+MONTH(D17)-MONTH(C17)+1))</x:f>
        <x:v>1</x:v>
      </x:c>
      <x:c r="F17" s="25" t="str">
        <x:v>Task</x:v>
      </x:c>
      <x:c r="G17" s="34" t="n">
        <x:f>IF(OR($C17="",$D17=""),"",IF($D17&lt;$C17,"",IF(AND(G$6&lt;=$D17,EOMONTH(G$6,0)&gt;=$C17),1,0)))</x:f>
        <x:v>0</x:v>
      </x:c>
      <x:c r="H17" s="35" t="n">
        <x:f>IF(OR($C17="",$D17=""),"",IF($D17&lt;$C17,"",IF(AND(H$6&lt;=$D17,EOMONTH(H$6,0)&gt;=$C17),1,0)))</x:f>
        <x:v>0</x:v>
      </x:c>
      <x:c r="I17" s="35" t="n">
        <x:f>IF(OR($C17="",$D17=""),"",IF($D17&lt;$C17,"",IF(AND(I$6&lt;=$D17,EOMONTH(I$6,0)&gt;=$C17),1,0)))</x:f>
        <x:v>1</x:v>
      </x:c>
      <x:c r="J17" s="35" t="n">
        <x:f>IF(OR($C17="",$D17=""),"",IF($D17&lt;$C17,"",IF(AND(J$6&lt;=$D17,EOMONTH(J$6,0)&gt;=$C17),1,0)))</x:f>
        <x:v>0</x:v>
      </x:c>
      <x:c r="K17" s="35" t="n">
        <x:f>IF(OR($C17="",$D17=""),"",IF($D17&lt;$C17,"",IF(AND(K$6&lt;=$D17,EOMONTH(K$6,0)&gt;=$C17),1,0)))</x:f>
        <x:v>0</x:v>
      </x:c>
      <x:c r="L17" s="35" t="n">
        <x:f>IF(OR($C17="",$D17=""),"",IF($D17&lt;$C17,"",IF(AND(L$6&lt;=$D17,EOMONTH(L$6,0)&gt;=$C17),1,0)))</x:f>
        <x:v>0</x:v>
      </x:c>
      <x:c r="M17" s="35" t="n">
        <x:f>IF(OR($C17="",$D17=""),"",IF($D17&lt;$C17,"",IF(AND(M$6&lt;=$D17,EOMONTH(M$6,0)&gt;=$C17),1,0)))</x:f>
        <x:v>0</x:v>
      </x:c>
      <x:c r="N17" s="36" t="n">
        <x:f>IF(OR($C17="",$D17=""),"",IF($D17&lt;$C17,"",IF(AND(N$6&lt;=$D17,EOMONTH(N$6,0)&gt;=$C17),1,0)))</x:f>
        <x:v>0</x:v>
      </x:c>
    </x:row>
    <x:row r="18" ht="15.75" customHeight="1">
      <x:c r="A18" s="28" t="str">
        <x:v>T8</x:v>
      </x:c>
      <x:c r="B18" s="28" t="str">
        <x:v>Reports and viva preparation</x:v>
      </x:c>
      <x:c r="C18" s="24" t="n">
        <x:v>46419</x:v>
      </x:c>
      <x:c r="D18" s="24" t="n">
        <x:v>46538</x:v>
      </x:c>
      <x:c r="E18" s="25" t="n">
        <x:f>IF(OR(C18="",D18=""),"",IF(D18&lt;C18,"Check",(YEAR(D18)-YEAR(C18))*12+MONTH(D18)-MONTH(C18)+1))</x:f>
        <x:v>4</x:v>
      </x:c>
      <x:c r="F18" s="25" t="str">
        <x:v>Task</x:v>
      </x:c>
      <x:c r="G18" s="37" t="n">
        <x:f>IF(OR($C18="",$D18=""),"",IF($D18&lt;$C18,"",IF(AND(G$6&lt;=$D18,EOMONTH(G$6,0)&gt;=$C18),1,0)))</x:f>
        <x:v>0</x:v>
      </x:c>
      <x:c r="H18" s="38" t="n">
        <x:f>IF(OR($C18="",$D18=""),"",IF($D18&lt;$C18,"",IF(AND(H$6&lt;=$D18,EOMONTH(H$6,0)&gt;=$C18),1,0)))</x:f>
        <x:v>0</x:v>
      </x:c>
      <x:c r="I18" s="38" t="n">
        <x:f>IF(OR($C18="",$D18=""),"",IF($D18&lt;$C18,"",IF(AND(I$6&lt;=$D18,EOMONTH(I$6,0)&gt;=$C18),1,0)))</x:f>
        <x:v>0</x:v>
      </x:c>
      <x:c r="J18" s="38" t="n">
        <x:f>IF(OR($C18="",$D18=""),"",IF($D18&lt;$C18,"",IF(AND(J$6&lt;=$D18,EOMONTH(J$6,0)&gt;=$C18),1,0)))</x:f>
        <x:v>0</x:v>
      </x:c>
      <x:c r="K18" s="38" t="n">
        <x:f>IF(OR($C18="",$D18=""),"",IF($D18&lt;$C18,"",IF(AND(K$6&lt;=$D18,EOMONTH(K$6,0)&gt;=$C18),1,0)))</x:f>
        <x:v>1</x:v>
      </x:c>
      <x:c r="L18" s="38" t="n">
        <x:f>IF(OR($C18="",$D18=""),"",IF($D18&lt;$C18,"",IF(AND(L$6&lt;=$D18,EOMONTH(L$6,0)&gt;=$C18),1,0)))</x:f>
        <x:v>1</x:v>
      </x:c>
      <x:c r="M18" s="38" t="n">
        <x:f>IF(OR($C18="",$D18=""),"",IF($D18&lt;$C18,"",IF(AND(M$6&lt;=$D18,EOMONTH(M$6,0)&gt;=$C18),1,0)))</x:f>
        <x:v>1</x:v>
      </x:c>
      <x:c r="N18" s="39" t="n">
        <x:f>IF(OR($C18="",$D18=""),"",IF($D18&lt;$C18,"",IF(AND(N$6&lt;=$D18,EOMONTH(N$6,0)&gt;=$C18),1,0)))</x:f>
        <x:v>1</x:v>
      </x:c>
    </x:row>
    <x:row r="19" ht="5.2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8" customHeight="1">
      <x:c r="A20" s="41" t="str">
        <x:v>Milestones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</x:row>
    <x:row r="21" ht="15.75" customHeight="1">
      <x:c r="A21" s="2" t="str">
        <x:v>M1</x:v>
      </x:c>
      <x:c r="B21" s="2" t="str">
        <x:v>Outline and initial plan</x:v>
      </x:c>
      <x:c r="C21" s="24" t="n">
        <x:v>46326</x:v>
      </x:c>
      <x:c r="D21" s="44" t="str">
        <x:v>Proposed</x:v>
      </x:c>
      <x:c r="E21" s="2"/>
      <x:c r="F21" s="2"/>
      <x:c r="G21" s="47" t="str">
        <x:f>IF($C21="","",IF(AND(G$6&lt;=$C21,EOMONTH(G$6,0)&gt;=$C21),$A21,""))</x:f>
        <x:v>M1</x:v>
      </x:c>
      <x:c r="H21" s="47" t="str">
        <x:f>IF($C21="","",IF(AND(H$6&lt;=$C21,EOMONTH(H$6,0)&gt;=$C21),$A21,""))</x:f>
      </x:c>
      <x:c r="I21" s="47" t="str">
        <x:f>IF($C21="","",IF(AND(I$6&lt;=$C21,EOMONTH(I$6,0)&gt;=$C21),$A21,""))</x:f>
      </x:c>
      <x:c r="J21" s="47" t="str">
        <x:f>IF($C21="","",IF(AND(J$6&lt;=$C21,EOMONTH(J$6,0)&gt;=$C21),$A21,""))</x:f>
      </x:c>
      <x:c r="K21" s="47" t="str">
        <x:f>IF($C21="","",IF(AND(K$6&lt;=$C21,EOMONTH(K$6,0)&gt;=$C21),$A21,""))</x:f>
      </x:c>
      <x:c r="L21" s="47" t="str">
        <x:f>IF($C21="","",IF(AND(L$6&lt;=$C21,EOMONTH(L$6,0)&gt;=$C21),$A21,""))</x:f>
      </x:c>
      <x:c r="M21" s="47" t="str">
        <x:f>IF($C21="","",IF(AND(M$6&lt;=$C21,EOMONTH(M$6,0)&gt;=$C21),$A21,""))</x:f>
      </x:c>
      <x:c r="N21" s="47" t="str">
        <x:f>IF($C21="","",IF(AND(N$6&lt;=$C21,EOMONTH(N$6,0)&gt;=$C21),$A21,""))</x:f>
      </x:c>
    </x:row>
    <x:row r="22" ht="15.75" customHeight="1">
      <x:c r="A22" s="2" t="str">
        <x:v>M2</x:v>
      </x:c>
      <x:c r="B22" s="2" t="str">
        <x:v>Ethics and risk review</x:v>
      </x:c>
      <x:c r="C22" s="24" t="n">
        <x:v>46356</x:v>
      </x:c>
      <x:c r="D22" s="44" t="str">
        <x:v>Proposed</x:v>
      </x:c>
      <x:c r="E22" s="2"/>
      <x:c r="F22" s="2"/>
      <x:c r="G22" s="47" t="str">
        <x:f>IF($C22="","",IF(AND(G$6&lt;=$C22,EOMONTH(G$6,0)&gt;=$C22),$A22,""))</x:f>
      </x:c>
      <x:c r="H22" s="47" t="str">
        <x:f>IF($C22="","",IF(AND(H$6&lt;=$C22,EOMONTH(H$6,0)&gt;=$C22),$A22,""))</x:f>
        <x:v>M2</x:v>
      </x:c>
      <x:c r="I22" s="47" t="str">
        <x:f>IF($C22="","",IF(AND(I$6&lt;=$C22,EOMONTH(I$6,0)&gt;=$C22),$A22,""))</x:f>
      </x:c>
      <x:c r="J22" s="47" t="str">
        <x:f>IF($C22="","",IF(AND(J$6&lt;=$C22,EOMONTH(J$6,0)&gt;=$C22),$A22,""))</x:f>
      </x:c>
      <x:c r="K22" s="47" t="str">
        <x:f>IF($C22="","",IF(AND(K$6&lt;=$C22,EOMONTH(K$6,0)&gt;=$C22),$A22,""))</x:f>
      </x:c>
      <x:c r="L22" s="47" t="str">
        <x:f>IF($C22="","",IF(AND(L$6&lt;=$C22,EOMONTH(L$6,0)&gt;=$C22),$A22,""))</x:f>
      </x:c>
      <x:c r="M22" s="47" t="str">
        <x:f>IF($C22="","",IF(AND(M$6&lt;=$C22,EOMONTH(M$6,0)&gt;=$C22),$A22,""))</x:f>
      </x:c>
      <x:c r="N22" s="47" t="str">
        <x:f>IF($C22="","",IF(AND(N$6&lt;=$C22,EOMONTH(N$6,0)&gt;=$C22),$A22,""))</x:f>
      </x:c>
    </x:row>
    <x:row r="23" ht="15.75" customHeight="1">
      <x:c r="A23" s="2" t="str">
        <x:v>M3</x:v>
      </x:c>
      <x:c r="B23" s="2" t="str">
        <x:v>Validated model and dataset</x:v>
      </x:c>
      <x:c r="C23" s="24" t="n">
        <x:v>46356</x:v>
      </x:c>
      <x:c r="D23" s="44" t="str">
        <x:v>Proposed</x:v>
      </x:c>
      <x:c r="E23" s="2"/>
      <x:c r="F23" s="2"/>
      <x:c r="G23" s="47" t="str">
        <x:f>IF($C23="","",IF(AND(G$6&lt;=$C23,EOMONTH(G$6,0)&gt;=$C23),$A23,""))</x:f>
      </x:c>
      <x:c r="H23" s="47" t="str">
        <x:f>IF($C23="","",IF(AND(H$6&lt;=$C23,EOMONTH(H$6,0)&gt;=$C23),$A23,""))</x:f>
        <x:v>M3</x:v>
      </x:c>
      <x:c r="I23" s="47" t="str">
        <x:f>IF($C23="","",IF(AND(I$6&lt;=$C23,EOMONTH(I$6,0)&gt;=$C23),$A23,""))</x:f>
      </x:c>
      <x:c r="J23" s="47" t="str">
        <x:f>IF($C23="","",IF(AND(J$6&lt;=$C23,EOMONTH(J$6,0)&gt;=$C23),$A23,""))</x:f>
      </x:c>
      <x:c r="K23" s="47" t="str">
        <x:f>IF($C23="","",IF(AND(K$6&lt;=$C23,EOMONTH(K$6,0)&gt;=$C23),$A23,""))</x:f>
      </x:c>
      <x:c r="L23" s="47" t="str">
        <x:f>IF($C23="","",IF(AND(L$6&lt;=$C23,EOMONTH(L$6,0)&gt;=$C23),$A23,""))</x:f>
      </x:c>
      <x:c r="M23" s="47" t="str">
        <x:f>IF($C23="","",IF(AND(M$6&lt;=$C23,EOMONTH(M$6,0)&gt;=$C23),$A23,""))</x:f>
      </x:c>
      <x:c r="N23" s="47" t="str">
        <x:f>IF($C23="","",IF(AND(N$6&lt;=$C23,EOMONTH(N$6,0)&gt;=$C23),$A23,""))</x:f>
      </x:c>
    </x:row>
    <x:row r="24" ht="15.75" customHeight="1">
      <x:c r="A24" s="2" t="str">
        <x:v>M4</x:v>
      </x:c>
      <x:c r="B24" s="2" t="str">
        <x:v>Numerical IK baseline</x:v>
      </x:c>
      <x:c r="C24" s="24" t="n">
        <x:v>46387</x:v>
      </x:c>
      <x:c r="D24" s="44" t="str">
        <x:v>Proposed</x:v>
      </x:c>
      <x:c r="E24" s="2"/>
      <x:c r="F24" s="2"/>
      <x:c r="G24" s="47" t="str">
        <x:f>IF($C24="","",IF(AND(G$6&lt;=$C24,EOMONTH(G$6,0)&gt;=$C24),$A24,""))</x:f>
      </x:c>
      <x:c r="H24" s="47" t="str">
        <x:f>IF($C24="","",IF(AND(H$6&lt;=$C24,EOMONTH(H$6,0)&gt;=$C24),$A24,""))</x:f>
      </x:c>
      <x:c r="I24" s="47" t="str">
        <x:f>IF($C24="","",IF(AND(I$6&lt;=$C24,EOMONTH(I$6,0)&gt;=$C24),$A24,""))</x:f>
        <x:v>M4</x:v>
      </x:c>
      <x:c r="J24" s="47" t="str">
        <x:f>IF($C24="","",IF(AND(J$6&lt;=$C24,EOMONTH(J$6,0)&gt;=$C24),$A24,""))</x:f>
      </x:c>
      <x:c r="K24" s="47" t="str">
        <x:f>IF($C24="","",IF(AND(K$6&lt;=$C24,EOMONTH(K$6,0)&gt;=$C24),$A24,""))</x:f>
      </x:c>
      <x:c r="L24" s="47" t="str">
        <x:f>IF($C24="","",IF(AND(L$6&lt;=$C24,EOMONTH(L$6,0)&gt;=$C24),$A24,""))</x:f>
      </x:c>
      <x:c r="M24" s="47" t="str">
        <x:f>IF($C24="","",IF(AND(M$6&lt;=$C24,EOMONTH(M$6,0)&gt;=$C24),$A24,""))</x:f>
      </x:c>
      <x:c r="N24" s="47" t="str">
        <x:f>IF($C24="","",IF(AND(N$6&lt;=$C24,EOMONTH(N$6,0)&gt;=$C24),$A24,""))</x:f>
      </x:c>
    </x:row>
    <x:row r="25" ht="15.75" customHeight="1">
      <x:c r="A25" s="2" t="str">
        <x:v>M5</x:v>
      </x:c>
      <x:c r="B25" s="2" t="str">
        <x:v>Progress report and network results</x:v>
      </x:c>
      <x:c r="C25" s="24" t="n">
        <x:v>46446</x:v>
      </x:c>
      <x:c r="D25" s="44" t="str">
        <x:v>Proposed</x:v>
      </x:c>
      <x:c r="E25" s="2"/>
      <x:c r="F25" s="2"/>
      <x:c r="G25" s="47" t="str">
        <x:f>IF($C25="","",IF(AND(G$6&lt;=$C25,EOMONTH(G$6,0)&gt;=$C25),$A25,""))</x:f>
      </x:c>
      <x:c r="H25" s="47" t="str">
        <x:f>IF($C25="","",IF(AND(H$6&lt;=$C25,EOMONTH(H$6,0)&gt;=$C25),$A25,""))</x:f>
      </x:c>
      <x:c r="I25" s="47" t="str">
        <x:f>IF($C25="","",IF(AND(I$6&lt;=$C25,EOMONTH(I$6,0)&gt;=$C25),$A25,""))</x:f>
      </x:c>
      <x:c r="J25" s="47" t="str">
        <x:f>IF($C25="","",IF(AND(J$6&lt;=$C25,EOMONTH(J$6,0)&gt;=$C25),$A25,""))</x:f>
      </x:c>
      <x:c r="K25" s="47" t="str">
        <x:f>IF($C25="","",IF(AND(K$6&lt;=$C25,EOMONTH(K$6,0)&gt;=$C25),$A25,""))</x:f>
        <x:v>M5</x:v>
      </x:c>
      <x:c r="L25" s="47" t="str">
        <x:f>IF($C25="","",IF(AND(L$6&lt;=$C25,EOMONTH(L$6,0)&gt;=$C25),$A25,""))</x:f>
      </x:c>
      <x:c r="M25" s="47" t="str">
        <x:f>IF($C25="","",IF(AND(M$6&lt;=$C25,EOMONTH(M$6,0)&gt;=$C25),$A25,""))</x:f>
      </x:c>
      <x:c r="N25" s="47" t="str">
        <x:f>IF($C25="","",IF(AND(N$6&lt;=$C25,EOMONTH(N$6,0)&gt;=$C25),$A25,""))</x:f>
      </x:c>
    </x:row>
    <x:row r="26" ht="15.75" customHeight="1">
      <x:c r="A26" s="2" t="str">
        <x:v>M6</x:v>
      </x:c>
      <x:c r="B26" s="2" t="str">
        <x:v>Integrated method and testing</x:v>
      </x:c>
      <x:c r="C26" s="24" t="n">
        <x:v>46477</x:v>
      </x:c>
      <x:c r="D26" s="44" t="str">
        <x:v>Proposed</x:v>
      </x:c>
      <x:c r="E26" s="2"/>
      <x:c r="F26" s="2"/>
      <x:c r="G26" s="47" t="str">
        <x:f>IF($C26="","",IF(AND(G$6&lt;=$C26,EOMONTH(G$6,0)&gt;=$C26),$A26,""))</x:f>
      </x:c>
      <x:c r="H26" s="47" t="str">
        <x:f>IF($C26="","",IF(AND(H$6&lt;=$C26,EOMONTH(H$6,0)&gt;=$C26),$A26,""))</x:f>
      </x:c>
      <x:c r="I26" s="47" t="str">
        <x:f>IF($C26="","",IF(AND(I$6&lt;=$C26,EOMONTH(I$6,0)&gt;=$C26),$A26,""))</x:f>
      </x:c>
      <x:c r="J26" s="47" t="str">
        <x:f>IF($C26="","",IF(AND(J$6&lt;=$C26,EOMONTH(J$6,0)&gt;=$C26),$A26,""))</x:f>
      </x:c>
      <x:c r="K26" s="47" t="str">
        <x:f>IF($C26="","",IF(AND(K$6&lt;=$C26,EOMONTH(K$6,0)&gt;=$C26),$A26,""))</x:f>
      </x:c>
      <x:c r="L26" s="47" t="str">
        <x:f>IF($C26="","",IF(AND(L$6&lt;=$C26,EOMONTH(L$6,0)&gt;=$C26),$A26,""))</x:f>
        <x:v>M6</x:v>
      </x:c>
      <x:c r="M26" s="47" t="str">
        <x:f>IF($C26="","",IF(AND(M$6&lt;=$C26,EOMONTH(M$6,0)&gt;=$C26),$A26,""))</x:f>
      </x:c>
      <x:c r="N26" s="47" t="str">
        <x:f>IF($C26="","",IF(AND(N$6&lt;=$C26,EOMONTH(N$6,0)&gt;=$C26),$A26,""))</x:f>
      </x:c>
    </x:row>
    <x:row r="27" ht="15.75" customHeight="1">
      <x:c r="A27" s="2" t="str">
        <x:v>M7</x:v>
      </x:c>
      <x:c r="B27" s="2" t="str">
        <x:v>Draft paper and reproducibility files</x:v>
      </x:c>
      <x:c r="C27" s="24" t="n">
        <x:v>46507</x:v>
      </x:c>
      <x:c r="D27" s="44" t="str">
        <x:v>Proposed</x:v>
      </x:c>
      <x:c r="E27" s="2"/>
      <x:c r="F27" s="2"/>
      <x:c r="G27" s="47" t="str">
        <x:f>IF($C27="","",IF(AND(G$6&lt;=$C27,EOMONTH(G$6,0)&gt;=$C27),$A27,""))</x:f>
      </x:c>
      <x:c r="H27" s="47" t="str">
        <x:f>IF($C27="","",IF(AND(H$6&lt;=$C27,EOMONTH(H$6,0)&gt;=$C27),$A27,""))</x:f>
      </x:c>
      <x:c r="I27" s="47" t="str">
        <x:f>IF($C27="","",IF(AND(I$6&lt;=$C27,EOMONTH(I$6,0)&gt;=$C27),$A27,""))</x:f>
      </x:c>
      <x:c r="J27" s="47" t="str">
        <x:f>IF($C27="","",IF(AND(J$6&lt;=$C27,EOMONTH(J$6,0)&gt;=$C27),$A27,""))</x:f>
      </x:c>
      <x:c r="K27" s="47" t="str">
        <x:f>IF($C27="","",IF(AND(K$6&lt;=$C27,EOMONTH(K$6,0)&gt;=$C27),$A27,""))</x:f>
      </x:c>
      <x:c r="L27" s="47" t="str">
        <x:f>IF($C27="","",IF(AND(L$6&lt;=$C27,EOMONTH(L$6,0)&gt;=$C27),$A27,""))</x:f>
      </x:c>
      <x:c r="M27" s="47" t="str">
        <x:f>IF($C27="","",IF(AND(M$6&lt;=$C27,EOMONTH(M$6,0)&gt;=$C27),$A27,""))</x:f>
        <x:v>M7</x:v>
      </x:c>
      <x:c r="N27" s="47" t="str">
        <x:f>IF($C27="","",IF(AND(N$6&lt;=$C27,EOMONTH(N$6,0)&gt;=$C27),$A27,""))</x:f>
      </x:c>
    </x:row>
    <x:row r="28" ht="15.75" customHeight="1">
      <x:c r="A28" s="2" t="str">
        <x:v>M8</x:v>
      </x:c>
      <x:c r="B28" s="2" t="str">
        <x:v>Final paper and viva</x:v>
      </x:c>
      <x:c r="C28" s="24" t="n">
        <x:v>46538</x:v>
      </x:c>
      <x:c r="D28" s="44" t="str">
        <x:v>Proposed</x:v>
      </x:c>
      <x:c r="E28" s="2"/>
      <x:c r="F28" s="2"/>
      <x:c r="G28" s="47" t="str">
        <x:f>IF($C28="","",IF(AND(G$6&lt;=$C28,EOMONTH(G$6,0)&gt;=$C28),$A28,""))</x:f>
      </x:c>
      <x:c r="H28" s="47" t="str">
        <x:f>IF($C28="","",IF(AND(H$6&lt;=$C28,EOMONTH(H$6,0)&gt;=$C28),$A28,""))</x:f>
      </x:c>
      <x:c r="I28" s="47" t="str">
        <x:f>IF($C28="","",IF(AND(I$6&lt;=$C28,EOMONTH(I$6,0)&gt;=$C28),$A28,""))</x:f>
      </x:c>
      <x:c r="J28" s="47" t="str">
        <x:f>IF($C28="","",IF(AND(J$6&lt;=$C28,EOMONTH(J$6,0)&gt;=$C28),$A28,""))</x:f>
      </x:c>
      <x:c r="K28" s="47" t="str">
        <x:f>IF($C28="","",IF(AND(K$6&lt;=$C28,EOMONTH(K$6,0)&gt;=$C28),$A28,""))</x:f>
      </x:c>
      <x:c r="L28" s="47" t="str">
        <x:f>IF($C28="","",IF(AND(L$6&lt;=$C28,EOMONTH(L$6,0)&gt;=$C28),$A28,""))</x:f>
      </x:c>
      <x:c r="M28" s="47" t="str">
        <x:f>IF($C28="","",IF(AND(M$6&lt;=$C28,EOMONTH(M$6,0)&gt;=$C28),$A28,""))</x:f>
      </x:c>
      <x:c r="N28" s="47" t="str">
        <x:f>IF($C28="","",IF(AND(N$6&lt;=$C28,EOMONTH(N$6,0)&gt;=$C28),$A28,""))</x:f>
        <x:v>M8</x:v>
      </x:c>
    </x:row>
    <x:row r="29" ht="5.2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8" customHeight="1">
      <x:c r="A30" s="41" t="str">
        <x:v>Capacity and contingency</x:v>
      </x:c>
      <x:c r="B30" s="41"/>
      <x:c r="C30" s="41"/>
      <x:c r="D30" s="41"/>
      <x:c r="E30" s="41"/>
      <x:c r="F30" s="41"/>
      <x:c r="G30" s="2"/>
      <x:c r="H30" s="2"/>
      <x:c r="I30" s="2"/>
      <x:c r="J30" s="2"/>
      <x:c r="K30" s="2"/>
      <x:c r="L30" s="2"/>
      <x:c r="M30" s="2"/>
      <x:c r="N30" s="2"/>
    </x:row>
    <x:row r="31" ht="15.75" customHeight="1">
      <x:c r="A31" s="2" t="str">
        <x:v>C1</x:v>
      </x:c>
      <x:c r="B31" s="2" t="str">
        <x:v>Exam period (provisional)</x:v>
      </x:c>
      <x:c r="C31" s="24" t="n">
        <x:v>46388</x:v>
      </x:c>
      <x:c r="D31" s="24" t="n">
        <x:v>46418</x:v>
      </x:c>
      <x:c r="E31" s="25" t="n">
        <x:f>IF(OR(C31="",D31=""),"",IF(D31&lt;C31,"Check",(YEAR(D31)-YEAR(C31))*12+MONTH(D31)-MONTH(C31)+1))</x:f>
        <x:v>1</x:v>
      </x:c>
      <x:c r="F31" s="25" t="str">
        <x:v>Reduced</x:v>
      </x:c>
      <x:c r="G31" s="31" t="n">
        <x:f>IF(OR($C31="",$D31=""),"",IF($D31&lt;$C31,"",IF(AND(G$6&lt;=$D31,EOMONTH(G$6,0)&gt;=$C31),1,0)))</x:f>
        <x:v>0</x:v>
      </x:c>
      <x:c r="H31" s="32" t="n">
        <x:f>IF(OR($C31="",$D31=""),"",IF($D31&lt;$C31,"",IF(AND(H$6&lt;=$D31,EOMONTH(H$6,0)&gt;=$C31),1,0)))</x:f>
        <x:v>0</x:v>
      </x:c>
      <x:c r="I31" s="32" t="n">
        <x:f>IF(OR($C31="",$D31=""),"",IF($D31&lt;$C31,"",IF(AND(I$6&lt;=$D31,EOMONTH(I$6,0)&gt;=$C31),1,0)))</x:f>
        <x:v>0</x:v>
      </x:c>
      <x:c r="J31" s="32" t="n">
        <x:f>IF(OR($C31="",$D31=""),"",IF($D31&lt;$C31,"",IF(AND(J$6&lt;=$D31,EOMONTH(J$6,0)&gt;=$C31),1,0)))</x:f>
        <x:v>1</x:v>
      </x:c>
      <x:c r="K31" s="32" t="n">
        <x:f>IF(OR($C31="",$D31=""),"",IF($D31&lt;$C31,"",IF(AND(K$6&lt;=$D31,EOMONTH(K$6,0)&gt;=$C31),1,0)))</x:f>
        <x:v>0</x:v>
      </x:c>
      <x:c r="L31" s="32" t="n">
        <x:f>IF(OR($C31="",$D31=""),"",IF($D31&lt;$C31,"",IF(AND(L$6&lt;=$D31,EOMONTH(L$6,0)&gt;=$C31),1,0)))</x:f>
        <x:v>0</x:v>
      </x:c>
      <x:c r="M31" s="32" t="n">
        <x:f>IF(OR($C31="",$D31=""),"",IF($D31&lt;$C31,"",IF(AND(M$6&lt;=$D31,EOMONTH(M$6,0)&gt;=$C31),1,0)))</x:f>
        <x:v>0</x:v>
      </x:c>
      <x:c r="N31" s="33" t="n">
        <x:f>IF(OR($C31="",$D31=""),"",IF($D31&lt;$C31,"",IF(AND(N$6&lt;=$D31,EOMONTH(N$6,0)&gt;=$C31),1,0)))</x:f>
        <x:v>0</x:v>
      </x:c>
    </x:row>
    <x:row r="32" ht="15.75" customHeight="1">
      <x:c r="A32" s="2" t="str">
        <x:v>C2</x:v>
      </x:c>
      <x:c r="B32" s="2" t="str">
        <x:v>Spring break (provisional)</x:v>
      </x:c>
      <x:c r="C32" s="24" t="n">
        <x:v>46478</x:v>
      </x:c>
      <x:c r="D32" s="24" t="n">
        <x:v>46507</x:v>
      </x:c>
      <x:c r="E32" s="25" t="n">
        <x:f>IF(OR(C32="",D32=""),"",IF(D32&lt;C32,"Check",(YEAR(D32)-YEAR(C32))*12+MONTH(D32)-MONTH(C32)+1))</x:f>
        <x:v>1</x:v>
      </x:c>
      <x:c r="F32" s="25" t="str">
        <x:v>Reduced</x:v>
      </x:c>
      <x:c r="G32" s="37" t="n">
        <x:f>IF(OR($C32="",$D32=""),"",IF($D32&lt;$C32,"",IF(AND(G$6&lt;=$D32,EOMONTH(G$6,0)&gt;=$C32),1,0)))</x:f>
        <x:v>0</x:v>
      </x:c>
      <x:c r="H32" s="38" t="n">
        <x:f>IF(OR($C32="",$D32=""),"",IF($D32&lt;$C32,"",IF(AND(H$6&lt;=$D32,EOMONTH(H$6,0)&gt;=$C32),1,0)))</x:f>
        <x:v>0</x:v>
      </x:c>
      <x:c r="I32" s="38" t="n">
        <x:f>IF(OR($C32="",$D32=""),"",IF($D32&lt;$C32,"",IF(AND(I$6&lt;=$D32,EOMONTH(I$6,0)&gt;=$C32),1,0)))</x:f>
        <x:v>0</x:v>
      </x:c>
      <x:c r="J32" s="38" t="n">
        <x:f>IF(OR($C32="",$D32=""),"",IF($D32&lt;$C32,"",IF(AND(J$6&lt;=$D32,EOMONTH(J$6,0)&gt;=$C32),1,0)))</x:f>
        <x:v>0</x:v>
      </x:c>
      <x:c r="K32" s="38" t="n">
        <x:f>IF(OR($C32="",$D32=""),"",IF($D32&lt;$C32,"",IF(AND(K$6&lt;=$D32,EOMONTH(K$6,0)&gt;=$C32),1,0)))</x:f>
        <x:v>0</x:v>
      </x:c>
      <x:c r="L32" s="38" t="n">
        <x:f>IF(OR($C32="",$D32=""),"",IF($D32&lt;$C32,"",IF(AND(L$6&lt;=$D32,EOMONTH(L$6,0)&gt;=$C32),1,0)))</x:f>
        <x:v>0</x:v>
      </x:c>
      <x:c r="M32" s="38" t="n">
        <x:f>IF(OR($C32="",$D32=""),"",IF($D32&lt;$C32,"",IF(AND(M$6&lt;=$D32,EOMONTH(M$6,0)&gt;=$C32),1,0)))</x:f>
        <x:v>1</x:v>
      </x:c>
      <x:c r="N32" s="39" t="n">
        <x:f>IF(OR($C32="",$D32=""),"",IF($D32&lt;$C32,"",IF(AND(N$6&lt;=$D32,EOMONTH(N$6,0)&gt;=$C32),1,0)))</x:f>
        <x:v>0</x:v>
      </x:c>
    </x:row>
    <x:row r="33" ht="15.75" customHeight="1">
      <x:c r="A33" s="2" t="str">
        <x:v>B1</x:v>
      </x:c>
      <x:c r="B33" s="2" t="str">
        <x:v>Contingency and corrections</x:v>
      </x:c>
      <x:c r="C33" s="24" t="n">
        <x:v>46357</x:v>
      </x:c>
      <x:c r="D33" s="24" t="n">
        <x:v>46387</x:v>
      </x:c>
      <x:c r="E33" s="25" t="n">
        <x:f>IF(OR(C33="",D33=""),"",IF(D33&lt;C33,"Check",(YEAR(D33)-YEAR(C33))*12+MONTH(D33)-MONTH(C33)+1))</x:f>
        <x:v>1</x:v>
      </x:c>
      <x:c r="F33" s="25" t="str">
        <x:v>Buffer</x:v>
      </x:c>
      <x:c r="G33" s="31" t="n">
        <x:f>IF(OR($C33="",$D33=""),"",IF($D33&lt;$C33,"",IF(AND(G$6&lt;=$D33,EOMONTH(G$6,0)&gt;=$C33),1,0)))</x:f>
        <x:v>0</x:v>
      </x:c>
      <x:c r="H33" s="32" t="n">
        <x:f>IF(OR($C33="",$D33=""),"",IF($D33&lt;$C33,"",IF(AND(H$6&lt;=$D33,EOMONTH(H$6,0)&gt;=$C33),1,0)))</x:f>
        <x:v>0</x:v>
      </x:c>
      <x:c r="I33" s="32" t="n">
        <x:f>IF(OR($C33="",$D33=""),"",IF($D33&lt;$C33,"",IF(AND(I$6&lt;=$D33,EOMONTH(I$6,0)&gt;=$C33),1,0)))</x:f>
        <x:v>1</x:v>
      </x:c>
      <x:c r="J33" s="32" t="n">
        <x:f>IF(OR($C33="",$D33=""),"",IF($D33&lt;$C33,"",IF(AND(J$6&lt;=$D33,EOMONTH(J$6,0)&gt;=$C33),1,0)))</x:f>
        <x:v>0</x:v>
      </x:c>
      <x:c r="K33" s="32" t="n">
        <x:f>IF(OR($C33="",$D33=""),"",IF($D33&lt;$C33,"",IF(AND(K$6&lt;=$D33,EOMONTH(K$6,0)&gt;=$C33),1,0)))</x:f>
        <x:v>0</x:v>
      </x:c>
      <x:c r="L33" s="32" t="n">
        <x:f>IF(OR($C33="",$D33=""),"",IF($D33&lt;$C33,"",IF(AND(L$6&lt;=$D33,EOMONTH(L$6,0)&gt;=$C33),1,0)))</x:f>
        <x:v>0</x:v>
      </x:c>
      <x:c r="M33" s="32" t="n">
        <x:f>IF(OR($C33="",$D33=""),"",IF($D33&lt;$C33,"",IF(AND(M$6&lt;=$D33,EOMONTH(M$6,0)&gt;=$C33),1,0)))</x:f>
        <x:v>0</x:v>
      </x:c>
      <x:c r="N33" s="33" t="n">
        <x:f>IF(OR($C33="",$D33=""),"",IF($D33&lt;$C33,"",IF(AND(N$6&lt;=$D33,EOMONTH(N$6,0)&gt;=$C33),1,0)))</x:f>
        <x:v>0</x:v>
      </x:c>
    </x:row>
    <x:row r="34" ht="15.75" customHeight="1">
      <x:c r="A34" s="2" t="str">
        <x:v>B2</x:v>
      </x:c>
      <x:c r="B34" s="2" t="str">
        <x:v>Contingency and corrections</x:v>
      </x:c>
      <x:c r="C34" s="24" t="n">
        <x:v>46447</x:v>
      </x:c>
      <x:c r="D34" s="24" t="n">
        <x:v>46477</x:v>
      </x:c>
      <x:c r="E34" s="25" t="n">
        <x:f>IF(OR(C34="",D34=""),"",IF(D34&lt;C34,"Check",(YEAR(D34)-YEAR(C34))*12+MONTH(D34)-MONTH(C34)+1))</x:f>
        <x:v>1</x:v>
      </x:c>
      <x:c r="F34" s="25" t="str">
        <x:v>Buffer</x:v>
      </x:c>
      <x:c r="G34" s="34" t="n">
        <x:f>IF(OR($C34="",$D34=""),"",IF($D34&lt;$C34,"",IF(AND(G$6&lt;=$D34,EOMONTH(G$6,0)&gt;=$C34),1,0)))</x:f>
        <x:v>0</x:v>
      </x:c>
      <x:c r="H34" s="35" t="n">
        <x:f>IF(OR($C34="",$D34=""),"",IF($D34&lt;$C34,"",IF(AND(H$6&lt;=$D34,EOMONTH(H$6,0)&gt;=$C34),1,0)))</x:f>
        <x:v>0</x:v>
      </x:c>
      <x:c r="I34" s="35" t="n">
        <x:f>IF(OR($C34="",$D34=""),"",IF($D34&lt;$C34,"",IF(AND(I$6&lt;=$D34,EOMONTH(I$6,0)&gt;=$C34),1,0)))</x:f>
        <x:v>0</x:v>
      </x:c>
      <x:c r="J34" s="35" t="n">
        <x:f>IF(OR($C34="",$D34=""),"",IF($D34&lt;$C34,"",IF(AND(J$6&lt;=$D34,EOMONTH(J$6,0)&gt;=$C34),1,0)))</x:f>
        <x:v>0</x:v>
      </x:c>
      <x:c r="K34" s="35" t="n">
        <x:f>IF(OR($C34="",$D34=""),"",IF($D34&lt;$C34,"",IF(AND(K$6&lt;=$D34,EOMONTH(K$6,0)&gt;=$C34),1,0)))</x:f>
        <x:v>0</x:v>
      </x:c>
      <x:c r="L34" s="35" t="n">
        <x:f>IF(OR($C34="",$D34=""),"",IF($D34&lt;$C34,"",IF(AND(L$6&lt;=$D34,EOMONTH(L$6,0)&gt;=$C34),1,0)))</x:f>
        <x:v>1</x:v>
      </x:c>
      <x:c r="M34" s="35" t="n">
        <x:f>IF(OR($C34="",$D34=""),"",IF($D34&lt;$C34,"",IF(AND(M$6&lt;=$D34,EOMONTH(M$6,0)&gt;=$C34),1,0)))</x:f>
        <x:v>0</x:v>
      </x:c>
      <x:c r="N34" s="36" t="n">
        <x:f>IF(OR($C34="",$D34=""),"",IF($D34&lt;$C34,"",IF(AND(N$6&lt;=$D34,EOMONTH(N$6,0)&gt;=$C34),1,0)))</x:f>
        <x:v>0</x:v>
      </x:c>
    </x:row>
    <x:row r="35" ht="15.75" customHeight="1">
      <x:c r="A35" s="2" t="str">
        <x:v>B3</x:v>
      </x:c>
      <x:c r="B35" s="2" t="str">
        <x:v>Contingency and corrections</x:v>
      </x:c>
      <x:c r="C35" s="24" t="n">
        <x:v>46478</x:v>
      </x:c>
      <x:c r="D35" s="24" t="n">
        <x:v>46507</x:v>
      </x:c>
      <x:c r="E35" s="25" t="n">
        <x:f>IF(OR(C35="",D35=""),"",IF(D35&lt;C35,"Check",(YEAR(D35)-YEAR(C35))*12+MONTH(D35)-MONTH(C35)+1))</x:f>
        <x:v>1</x:v>
      </x:c>
      <x:c r="F35" s="25" t="str">
        <x:v>Buffer</x:v>
      </x:c>
      <x:c r="G35" s="37" t="n">
        <x:f>IF(OR($C35="",$D35=""),"",IF($D35&lt;$C35,"",IF(AND(G$6&lt;=$D35,EOMONTH(G$6,0)&gt;=$C35),1,0)))</x:f>
        <x:v>0</x:v>
      </x:c>
      <x:c r="H35" s="38" t="n">
        <x:f>IF(OR($C35="",$D35=""),"",IF($D35&lt;$C35,"",IF(AND(H$6&lt;=$D35,EOMONTH(H$6,0)&gt;=$C35),1,0)))</x:f>
        <x:v>0</x:v>
      </x:c>
      <x:c r="I35" s="38" t="n">
        <x:f>IF(OR($C35="",$D35=""),"",IF($D35&lt;$C35,"",IF(AND(I$6&lt;=$D35,EOMONTH(I$6,0)&gt;=$C35),1,0)))</x:f>
        <x:v>0</x:v>
      </x:c>
      <x:c r="J35" s="38" t="n">
        <x:f>IF(OR($C35="",$D35=""),"",IF($D35&lt;$C35,"",IF(AND(J$6&lt;=$D35,EOMONTH(J$6,0)&gt;=$C35),1,0)))</x:f>
        <x:v>0</x:v>
      </x:c>
      <x:c r="K35" s="38" t="n">
        <x:f>IF(OR($C35="",$D35=""),"",IF($D35&lt;$C35,"",IF(AND(K$6&lt;=$D35,EOMONTH(K$6,0)&gt;=$C35),1,0)))</x:f>
        <x:v>0</x:v>
      </x:c>
      <x:c r="L35" s="38" t="n">
        <x:f>IF(OR($C35="",$D35=""),"",IF($D35&lt;$C35,"",IF(AND(L$6&lt;=$D35,EOMONTH(L$6,0)&gt;=$C35),1,0)))</x:f>
        <x:v>0</x:v>
      </x:c>
      <x:c r="M35" s="38" t="n">
        <x:f>IF(OR($C35="",$D35=""),"",IF($D35&lt;$C35,"",IF(AND(M$6&lt;=$D35,EOMONTH(M$6,0)&gt;=$C35),1,0)))</x:f>
        <x:v>1</x:v>
      </x:c>
      <x:c r="N35" s="39" t="n">
        <x:f>IF(OR($C35="",$D35=""),"",IF($D35&lt;$C35,"",IF(AND(N$6&lt;=$D35,EOMONTH(N$6,0)&gt;=$C35),1,0)))</x:f>
        <x:v>0</x:v>
      </x:c>
    </x:row>
    <x:row r="36" ht="5.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8.75" customHeight="1">
      <x:c r="A37" s="5" t="str">
        <x:v>Blue = planned task. Purple = milestone. Grey = reduced capacity. Amber = reserved time. Repeated task IDs indicate separate work periods.</x:v>
      </x:c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</x:row>
    <x:row r="38" ht="15.75" customHeight="1">
      <x:c r="A38" s="5" t="str">
        <x:v>Source: EG-353 project outline, Gantt chart and milestones. Plan prepared 18 October 2026.</x:v>
      </x:c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</x:row>
  </x:sheetData>
  <x:mergeCells>
    <x:mergeCell ref="A2:N2"/>
    <x:mergeCell ref="A3:N3"/>
    <x:mergeCell ref="A4:N4"/>
    <x:mergeCell ref="A20:F20"/>
    <x:mergeCell ref="A30:F30"/>
    <x:mergeCell ref="A37:N37"/>
    <x:mergeCell ref="A38:N38"/>
  </x:mergeCells>
  <x:conditionalFormatting sqref="G7:N18">
    <x:cfRule type="cellIs" dxfId="0" priority="1" operator="equal">
      <x:formula>1</x:formula>
    </x:cfRule>
  </x:conditionalFormatting>
  <x:conditionalFormatting sqref="C7:D18">
    <x:cfRule type="expression" dxfId="1" priority="2">
      <x:formula>AND(ISNUMBER($C7),ISNUMBER($D7),$D7&lt;$C7)</x:formula>
    </x:cfRule>
  </x:conditionalFormatting>
  <x:conditionalFormatting sqref="G21:N28">
    <x:cfRule type="expression" dxfId="2" priority="3">
      <x:formula>G21&lt;&gt;""</x:formula>
    </x:cfRule>
  </x:conditionalFormatting>
  <x:conditionalFormatting sqref="G31:N32">
    <x:cfRule type="cellIs" dxfId="3" priority="4" operator="equal">
      <x:formula>1</x:formula>
    </x:cfRule>
  </x:conditionalFormatting>
  <x:conditionalFormatting sqref="G33:N35">
    <x:cfRule type="cellIs" dxfId="4" priority="5" operator="equal">
      <x:formula>1</x:formula>
    </x:cfRule>
  </x:conditionalFormatting>
  <x:printOptions horizontalCentered="1" gridLines="0" headings="0"/>
  <x:pageMargins left="0.25" right="0.25" top="0.3" bottom="0.3" header="0.1" footer="0.1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Pr>
    <x:tabColor rgb="FF59718A"/>
    <x:pageSetUpPr fitToPage="1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5.5" hidden="0" customWidth="1"/>
    <x:col min="2" max="2" width="27.5" hidden="0" customWidth="1"/>
    <x:col min="3" max="3" width="18.75" hidden="0" customWidth="1"/>
    <x:col min="4" max="4" width="28.75" hidden="0" customWidth="1"/>
    <x:col min="5" max="5" width="33.75" hidden="0" customWidth="1"/>
    <x:col min="6" max="6" width="41.25" hidden="0" customWidth="1"/>
  </x:cols>
  <x:sheetData>
    <x:row r="1" ht="5.25" customHeight="1">
      <x:c r="A1" s="2"/>
      <x:c r="B1" s="2"/>
      <x:c r="C1" s="2"/>
      <x:c r="D1" s="2"/>
      <x:c r="E1" s="2"/>
      <x:c r="F1" s="2"/>
    </x:row>
    <x:row r="2" ht="25.5" customHeight="1">
      <x:c r="A2" s="3" t="str">
        <x:v>Health Safety and Risk Assessment</x:v>
      </x:c>
      <x:c r="B2" s="3"/>
      <x:c r="C2" s="3"/>
      <x:c r="D2" s="3"/>
      <x:c r="E2" s="3"/>
      <x:c r="F2" s="3"/>
    </x:row>
    <x:row r="3" ht="19.5" customHeight="1">
      <x:c r="A3" s="5" t="str">
        <x:v>Scope: computer-based modelling, data generation and machine learning in CoppeliaSim and Python.</x:v>
      </x:c>
      <x:c r="B3" s="5"/>
      <x:c r="C3" s="5"/>
      <x:c r="D3" s="5"/>
      <x:c r="E3" s="5"/>
      <x:c r="F3" s="5"/>
    </x:row>
    <x:row r="4" ht="21" customHeight="1">
      <x:c r="A4" s="5" t="str">
        <x:v>Assessment prepared for supervisor review. Physical robot operation requires a separate assessment before any change of scope.</x:v>
      </x:c>
      <x:c r="B4" s="5"/>
      <x:c r="C4" s="5"/>
      <x:c r="D4" s="5"/>
      <x:c r="E4" s="5"/>
      <x:c r="F4" s="5"/>
    </x:row>
    <x:row r="5" ht="5.25" customHeight="1">
      <x:c r="A5" s="2"/>
      <x:c r="B5" s="2"/>
      <x:c r="C5" s="2"/>
      <x:c r="D5" s="2"/>
      <x:c r="E5" s="2"/>
      <x:c r="F5" s="2"/>
    </x:row>
    <x:row r="6" ht="22.5" customHeight="1">
      <x:c r="A6" s="48" t="str">
        <x:v>Faculty</x:v>
      </x:c>
      <x:c r="B6" s="48"/>
      <x:c r="C6" s="2" t="str">
        <x:v>Science and Engineering</x:v>
      </x:c>
      <x:c r="D6" s="2"/>
      <x:c r="E6" s="48" t="str">
        <x:v>Assessor</x:v>
      </x:c>
      <x:c r="F6" s="2" t="str">
        <x:v>Yifeng Du 2634068</x:v>
      </x:c>
    </x:row>
    <x:row r="7" ht="22.5" customHeight="1">
      <x:c r="A7" s="48" t="str">
        <x:v>Department</x:v>
      </x:c>
      <x:c r="B7" s="48"/>
      <x:c r="C7" s="2" t="str">
        <x:v>Mechanical Engineering</x:v>
      </x:c>
      <x:c r="D7" s="2"/>
      <x:c r="E7" s="48" t="str">
        <x:v>Prepared on</x:v>
      </x:c>
      <x:c r="F7" s="49" t="n">
        <x:v>46313</x:v>
      </x:c>
    </x:row>
    <x:row r="8" ht="22.5" customHeight="1">
      <x:c r="A8" s="48" t="str">
        <x:v>Location</x:v>
      </x:c>
      <x:c r="B8" s="48"/>
      <x:c r="C8" s="42" t="str">
        <x:v>Computer workstation; confirm exact location</x:v>
      </x:c>
      <x:c r="D8" s="42"/>
      <x:c r="E8" s="48" t="str">
        <x:v>Supervisor</x:v>
      </x:c>
      <x:c r="F8" s="2" t="str">
        <x:v>Dr Ashraf A. Fahmy</x:v>
      </x:c>
    </x:row>
    <x:row r="9" ht="22.5" customHeight="1">
      <x:c r="A9" s="48" t="str">
        <x:v>Documents</x:v>
      </x:c>
      <x:c r="B9" s="48"/>
      <x:c r="C9" s="2" t="str">
        <x:v>EG-353 outline and experiment records</x:v>
      </x:c>
      <x:c r="D9" s="2"/>
      <x:c r="E9" s="48" t="str">
        <x:v>Approval</x:v>
      </x:c>
      <x:c r="F9" s="42" t="str">
        <x:v>Pending</x:v>
      </x:c>
    </x:row>
    <x:row r="10" ht="22.5" customHeight="1">
      <x:c r="A10" s="48" t="str">
        <x:v>Next review</x:v>
      </x:c>
      <x:c r="B10" s="48"/>
      <x:c r="C10" s="2" t="str">
        <x:v>Before experiments or a change of scope</x:v>
      </x:c>
      <x:c r="D10" s="2"/>
      <x:c r="E10" s="48" t="str">
        <x:v>Approval date</x:v>
      </x:c>
      <x:c r="F10" s="42" t="str"/>
    </x:row>
    <x:row r="11" ht="5.25" customHeight="1">
      <x:c r="A11" s="2"/>
      <x:c r="B11" s="2"/>
      <x:c r="C11" s="2"/>
      <x:c r="D11" s="2"/>
      <x:c r="E11" s="2"/>
      <x:c r="F11" s="2"/>
    </x:row>
    <x:row r="12" ht="37.5" customHeight="1">
      <x:c r="A12" s="19" t="str">
        <x:v>ID</x:v>
      </x:c>
      <x:c r="B12" s="20" t="str">
        <x:v>What are the hazards?</x:v>
      </x:c>
      <x:c r="C12" s="20" t="str">
        <x:v>Who might be harmed?</x:v>
      </x:c>
      <x:c r="D12" s="20" t="str">
        <x:v>How could they be harmed?</x:v>
      </x:c>
      <x:c r="E12" s="20" t="str">
        <x:v>Current controls</x:v>
      </x:c>
      <x:c r="F12" s="52" t="str">
        <x:v>Further action required</x:v>
      </x:c>
    </x:row>
    <x:row r="13" ht="64.5" customHeight="1">
      <x:c r="A13" s="58" t="str">
        <x:v>R1</x:v>
      </x:c>
      <x:c r="B13" s="55" t="str">
        <x:v>Prolonged screen and keyboard use</x:v>
      </x:c>
      <x:c r="C13" s="55" t="str">
        <x:v>Student</x:v>
      </x:c>
      <x:c r="D13" s="55" t="str">
        <x:v>Eye strain; neck, back or wrist discomfort.</x:v>
      </x:c>
      <x:c r="E13" s="55" t="str">
        <x:v>Existing workstation arrangements and break routine to be confirmed.</x:v>
      </x:c>
      <x:c r="F13" s="55" t="str">
        <x:v>Review screen and desk position. Take regular breaks and vary tasks.</x:v>
      </x:c>
    </x:row>
    <x:row r="14" ht="64.5" customHeight="1">
      <x:c r="A14" s="59" t="str">
        <x:v>R2</x:v>
      </x:c>
      <x:c r="B14" s="57" t="str">
        <x:v>Electrical equipment, heat
and trailing leads</x:v>
      </x:c>
      <x:c r="C14" s="57" t="str">
        <x:v>Student and nearby users</x:v>
      </x:c>
      <x:c r="D14" s="57" t="str">
        <x:v>Electric shock, burns or trips.</x:v>
      </x:c>
      <x:c r="E14" s="57" t="str">
        <x:v>Equipment condition, ventilation and cable routing to be checked.</x:v>
      </x:c>
      <x:c r="F14" s="57" t="str">
        <x:v>Use intact approved equipment. Keep vents clear, secure cables and keep liquids away.</x:v>
      </x:c>
    </x:row>
    <x:row r="15" ht="64.5" customHeight="1">
      <x:c r="A15" s="60" t="str">
        <x:v>R3</x:v>
      </x:c>
      <x:c r="B15" s="56" t="str">
        <x:v>Workload and extended experiment sessions</x:v>
      </x:c>
      <x:c r="C15" s="56" t="str">
        <x:v>Student</x:v>
      </x:c>
      <x:c r="D15" s="56" t="str">
        <x:v>Fatigue, stress and reduced concentration.</x:v>
      </x:c>
      <x:c r="E15" s="56" t="str">
        <x:v>Plan includes contingency. Working pattern and session lengths require review.</x:v>
      </x:c>
      <x:c r="F15" s="56" t="str">
        <x:v>Agree manageable work periods and regular breaks. Review workload with the supervisor.</x:v>
      </x:c>
    </x:row>
    <x:row r="16" ht="64.5" customHeight="1">
      <x:c r="A16" s="59" t="str">
        <x:v>R4</x:v>
      </x:c>
      <x:c r="B16" s="57" t="str">
        <x:v>Future physical robot work only</x:v>
      </x:c>
      <x:c r="C16" s="57" t="str">
        <x:v>Operators and bystanders</x:v>
      </x:c>
      <x:c r="D16" s="57" t="str">
        <x:v>Unexpected motion, impact or crushing.</x:v>
      </x:c>
      <x:c r="E16" s="57" t="str">
        <x:v>Outside current simulation scope.</x:v>
      </x:c>
      <x:c r="F16" s="57" t="str">
        <x:v>Before any hardware work, obtain a separate approved assessment, training and supervised operating procedure.</x:v>
      </x:c>
    </x:row>
    <x:row r="17" ht="5.25" customHeight="1">
      <x:c r="A17" s="2"/>
      <x:c r="B17" s="2"/>
      <x:c r="C17" s="2"/>
      <x:c r="D17" s="2"/>
      <x:c r="E17" s="2"/>
      <x:c r="F17" s="2"/>
    </x:row>
    <x:row r="18" ht="22.5" customHeight="1">
      <x:c r="A18" s="5" t="str">
        <x:v>Current controls are unverified until checked. Supervisor approval is pending. Preparation date is not an approval date.</x:v>
      </x:c>
      <x:c r="B18" s="5"/>
      <x:c r="C18" s="5"/>
      <x:c r="D18" s="5"/>
      <x:c r="E18" s="5"/>
      <x:c r="F18" s="5"/>
    </x:row>
    <x:row r="19" ht="18" customHeight="1">
      <x:c r="A19" s="5" t="str">
        <x:v>Source: EG-353 project outline, Health, Safety and Risk Assessment of the Project.</x:v>
      </x:c>
      <x:c r="B19" s="5"/>
      <x:c r="C19" s="5"/>
      <x:c r="D19" s="5"/>
      <x:c r="E19" s="5"/>
      <x:c r="F19" s="5"/>
    </x:row>
    <x:row r="20" ht="5.25" customHeight="1">
      <x:c r="A20" s="2"/>
      <x:c r="B20" s="2"/>
      <x:c r="C20" s="2"/>
      <x:c r="D20" s="2"/>
      <x:c r="E20" s="2"/>
      <x:c r="F20" s="2"/>
    </x:row>
  </x:sheetData>
  <x:mergeCells>
    <x:mergeCell ref="A2:F2"/>
    <x:mergeCell ref="A3:F3"/>
    <x:mergeCell ref="A4:F4"/>
    <x:mergeCell ref="A6:B6"/>
    <x:mergeCell ref="C6:D6"/>
    <x:mergeCell ref="A7:B7"/>
    <x:mergeCell ref="C7:D7"/>
    <x:mergeCell ref="A8:B8"/>
    <x:mergeCell ref="C8:D8"/>
    <x:mergeCell ref="A9:B9"/>
    <x:mergeCell ref="C9:D9"/>
    <x:mergeCell ref="A10:B10"/>
    <x:mergeCell ref="C10:D10"/>
    <x:mergeCell ref="A18:F18"/>
    <x:mergeCell ref="A19:F19"/>
  </x:mergeCells>
  <x:printOptions horizontalCentered="1" gridLines="0" headings="0"/>
  <x:pageMargins left="0.25" right="0.25" top="0.3" bottom="0.3" header="0.1" footer="0.1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Pr>
    <x:tabColor rgb="FF59718A"/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.5" hidden="0" customWidth="1"/>
    <x:col min="2" max="2" width="47.5" hidden="0" customWidth="1"/>
    <x:col min="3" max="3" width="20" hidden="0" customWidth="1"/>
    <x:col min="4" max="4" width="21.8799991607666" hidden="0" customWidth="1"/>
    <x:col min="5" max="5" width="17.5" hidden="0" customWidth="1"/>
    <x:col min="6" max="6" width="13.75" hidden="0" customWidth="1"/>
    <x:col min="7" max="7" width="30" hidden="0" customWidth="1"/>
  </x:cols>
  <x:sheetData>
    <x:row r="1" ht="5.25" customHeight="1">
      <x:c r="A1" s="2"/>
      <x:c r="B1" s="2"/>
      <x:c r="C1" s="2"/>
      <x:c r="D1" s="2"/>
      <x:c r="E1" s="2"/>
      <x:c r="F1" s="2"/>
      <x:c r="G1" s="2"/>
    </x:row>
    <x:row r="2" ht="25.5" customHeight="1">
      <x:c r="A2" s="3" t="str">
        <x:v>Actions Arising from Risk Assessment</x:v>
      </x:c>
      <x:c r="B2" s="3"/>
      <x:c r="C2" s="3"/>
      <x:c r="D2" s="3"/>
      <x:c r="E2" s="3"/>
      <x:c r="F2" s="3"/>
      <x:c r="G2" s="3"/>
    </x:row>
    <x:row r="3" ht="19.5" customHeight="1">
      <x:c r="A3" s="5" t="str">
        <x:v>Update yellow status, completion-date and evidence cells after each action. Completion requires a date and supporting evidence.</x:v>
      </x:c>
      <x:c r="B3" s="5"/>
      <x:c r="C3" s="5"/>
      <x:c r="D3" s="5"/>
      <x:c r="E3" s="5"/>
      <x:c r="F3" s="5"/>
      <x:c r="G3" s="5"/>
    </x:row>
    <x:row r="4" ht="5.25" customHeight="1">
      <x:c r="A4" s="2"/>
      <x:c r="B4" s="2"/>
      <x:c r="C4" s="2"/>
      <x:c r="D4" s="2"/>
      <x:c r="E4" s="2"/>
      <x:c r="F4" s="2"/>
      <x:c r="G4" s="2"/>
    </x:row>
    <x:row r="5" ht="33" customHeight="1">
      <x:c r="A5" s="19" t="str">
        <x:v>ID</x:v>
      </x:c>
      <x:c r="B5" s="20" t="str">
        <x:v>Action</x:v>
      </x:c>
      <x:c r="C5" s="20" t="str">
        <x:v>Lead</x:v>
      </x:c>
      <x:c r="D5" s="20" t="str">
        <x:v>Target or trigger</x:v>
      </x:c>
      <x:c r="E5" s="20" t="str">
        <x:v>Status</x:v>
      </x:c>
      <x:c r="F5" s="20" t="str">
        <x:v>Completed on</x:v>
      </x:c>
      <x:c r="G5" s="52" t="str">
        <x:v>Evidence or next step</x:v>
      </x:c>
    </x:row>
    <x:row r="6" ht="63.75" customHeight="1">
      <x:c r="A6" s="61" t="str">
        <x:v>A1</x:v>
      </x:c>
      <x:c r="B6" s="61" t="str">
        <x:v>Review the risk assessment with the supervisor and obtain approval.</x:v>
      </x:c>
      <x:c r="C6" s="61" t="str">
        <x:v>Student and supervisor</x:v>
      </x:c>
      <x:c r="D6" s="61" t="str">
        <x:v>Before further experiments</x:v>
      </x:c>
      <x:c r="E6" s="62" t="str">
        <x:v>Pending review</x:v>
      </x:c>
      <x:c r="F6" s="64"/>
      <x:c r="G6" s="62" t="str">
        <x:v>Supervisor approval required.</x:v>
      </x:c>
    </x:row>
    <x:row r="7" ht="63.75" customHeight="1">
      <x:c r="A7" s="56" t="str">
        <x:v>A2</x:v>
      </x:c>
      <x:c r="B7" s="56" t="str">
        <x:v>Complete the EG-353 safety briefing, quiz and required mini-courses.</x:v>
      </x:c>
      <x:c r="C7" s="56" t="str">
        <x:v>Student</x:v>
      </x:c>
      <x:c r="D7" s="56" t="str">
        <x:v>Before approval</x:v>
      </x:c>
      <x:c r="E7" s="63" t="str">
        <x:v>To confirm</x:v>
      </x:c>
      <x:c r="F7" s="65"/>
      <x:c r="G7" s="63" t="str">
        <x:v>Confirm training completion and retain evidence.</x:v>
      </x:c>
    </x:row>
    <x:row r="8" ht="63.75" customHeight="1">
      <x:c r="A8" s="57" t="str">
        <x:v>A3</x:v>
      </x:c>
      <x:c r="B8" s="57" t="str">
        <x:v>Check workstation layout, equipment,
ventilation and cable routing.</x:v>
      </x:c>
      <x:c r="C8" s="57" t="str">
        <x:v>Student</x:v>
      </x:c>
      <x:c r="D8" s="57" t="str">
        <x:v>Before extended computer work</x:v>
      </x:c>
      <x:c r="E8" s="63" t="str">
        <x:v>To confirm</x:v>
      </x:c>
      <x:c r="F8" s="65"/>
      <x:c r="G8" s="63" t="str">
        <x:v>Record workstation and equipment checks.</x:v>
      </x:c>
    </x:row>
    <x:row r="9" ht="63.75" customHeight="1">
      <x:c r="A9" s="56" t="str">
        <x:v>A4</x:v>
      </x:c>
      <x:c r="B9" s="56" t="str">
        <x:v>Agree manageable working hours and regular breaks. Review workload at meetings.</x:v>
      </x:c>
      <x:c r="C9" s="56" t="str">
        <x:v>Student and supervisor</x:v>
      </x:c>
      <x:c r="D9" s="56" t="str">
        <x:v>At the planning review</x:v>
      </x:c>
      <x:c r="E9" s="63" t="str">
        <x:v>To confirm</x:v>
      </x:c>
      <x:c r="F9" s="65"/>
      <x:c r="G9" s="63" t="str">
        <x:v>Agree working pattern at the supervisor meeting.</x:v>
      </x:c>
    </x:row>
    <x:row r="10" ht="63.75" customHeight="1">
      <x:c r="A10" s="57" t="str">
        <x:v>A5</x:v>
      </x:c>
      <x:c r="B10" s="57" t="str">
        <x:v>Complete ethics screening and submit the ethics report through the module process.</x:v>
      </x:c>
      <x:c r="C10" s="57" t="str">
        <x:v>Student and supervisor</x:v>
      </x:c>
      <x:c r="D10" s="57" t="str">
        <x:v>November 2026 proposed</x:v>
      </x:c>
      <x:c r="E10" s="63" t="str">
        <x:v>Pending review</x:v>
      </x:c>
      <x:c r="F10" s="65"/>
      <x:c r="G10" s="63" t="str">
        <x:v>Confirm module requirements and submission date.</x:v>
      </x:c>
    </x:row>
    <x:row r="11" ht="63.75" customHeight="1">
      <x:c r="A11" s="56" t="str">
        <x:v>A6</x:v>
      </x:c>
      <x:c r="B11" s="56" t="str">
        <x:v>Review risks when scope, location or equipment changes. Complete a separate assessment before physical robot work.</x:v>
      </x:c>
      <x:c r="C11" s="56" t="str">
        <x:v>Student and supervisor</x:v>
      </x:c>
      <x:c r="D11" s="56" t="str">
        <x:v>Before each relevant change</x:v>
      </x:c>
      <x:c r="E11" s="63" t="str">
        <x:v>Not applicable</x:v>
      </x:c>
      <x:c r="F11" s="65"/>
      <x:c r="G11" s="63" t="str">
        <x:v>Hardware is outside the current simulation scope.</x:v>
      </x:c>
    </x:row>
    <x:row r="12" ht="5.25" customHeight="1">
      <x:c r="A12" s="2"/>
      <x:c r="B12" s="2"/>
      <x:c r="C12" s="2"/>
      <x:c r="D12" s="2"/>
      <x:c r="E12" s="2"/>
      <x:c r="F12" s="2"/>
      <x:c r="G12" s="2"/>
    </x:row>
    <x:row r="13" ht="21" customHeight="1">
      <x:c r="A13" s="5" t="str">
        <x:v>A blank completion date means no completion is recorded. Review each item before marking it Complete.</x:v>
      </x:c>
      <x:c r="B13" s="5"/>
      <x:c r="C13" s="5"/>
      <x:c r="D13" s="5"/>
      <x:c r="E13" s="5"/>
      <x:c r="F13" s="5"/>
      <x:c r="G13" s="5"/>
    </x:row>
    <x:row r="14" ht="18" customHeight="1">
      <x:c r="A14" s="5" t="str">
        <x:v>Source: EG-353 project outline, Part 2 Actions arising from risk assessment.</x:v>
      </x:c>
      <x:c r="B14" s="5"/>
      <x:c r="C14" s="5"/>
      <x:c r="D14" s="5"/>
      <x:c r="E14" s="5"/>
      <x:c r="F14" s="5"/>
      <x:c r="G14" s="5"/>
    </x:row>
    <x:row r="15" ht="5.25" customHeight="1">
      <x:c r="A15" s="2"/>
      <x:c r="B15" s="2"/>
      <x:c r="C15" s="2"/>
      <x:c r="D15" s="2"/>
      <x:c r="E15" s="2"/>
      <x:c r="F15" s="2"/>
      <x:c r="G15" s="2"/>
    </x:row>
    <x:row r="16" ht="18" customHeight="1">
      <x:c r="A16" s="2"/>
      <x:c r="B16" s="2"/>
      <x:c r="C16" s="2"/>
      <x:c r="D16" s="2"/>
      <x:c r="E16" s="2"/>
      <x:c r="F16" s="2"/>
      <x:c r="G16" s="2"/>
    </x:row>
    <x:row r="17" ht="5.25" customHeight="1">
      <x:c r="A17" s="2"/>
      <x:c r="B17" s="2"/>
      <x:c r="C17" s="2"/>
      <x:c r="D17" s="2"/>
      <x:c r="E17" s="2"/>
      <x:c r="F17" s="2"/>
      <x:c r="G17" s="2"/>
    </x:row>
    <x:row r="18" ht="25.5" customHeight="1">
      <x:c r="A18" s="3" t="str">
        <x:v>Project Delivery Risks</x:v>
      </x:c>
      <x:c r="B18" s="3"/>
      <x:c r="C18" s="3"/>
      <x:c r="D18" s="3"/>
      <x:c r="E18" s="3"/>
      <x:c r="F18" s="3"/>
      <x:c r="G18" s="3"/>
    </x:row>
    <x:row r="19" ht="18.75" customHeight="1">
      <x:c r="A19" s="5" t="str">
        <x:v>Research and schedule risks are tracked separately from hazards to people.</x:v>
      </x:c>
      <x:c r="B19" s="5"/>
      <x:c r="C19" s="5"/>
      <x:c r="D19" s="5"/>
      <x:c r="E19" s="5"/>
      <x:c r="F19" s="5"/>
      <x:c r="G19" s="5"/>
    </x:row>
    <x:row r="20" ht="5.25" customHeight="1">
      <x:c r="A20" s="2"/>
      <x:c r="B20" s="2"/>
      <x:c r="C20" s="2"/>
      <x:c r="D20" s="2"/>
      <x:c r="E20" s="2"/>
      <x:c r="F20" s="2"/>
      <x:c r="G20" s="2"/>
    </x:row>
    <x:row r="21" ht="33" customHeight="1">
      <x:c r="A21" s="19" t="str">
        <x:v>ID</x:v>
      </x:c>
      <x:c r="B21" s="20" t="str">
        <x:v>Risk</x:v>
      </x:c>
      <x:c r="C21" s="20" t="str">
        <x:v>Trigger or evidence</x:v>
      </x:c>
      <x:c r="D21" s="20" t="str">
        <x:v>Response</x:v>
      </x:c>
      <x:c r="E21" s="20" t="str">
        <x:v>Lead</x:v>
      </x:c>
      <x:c r="F21" s="20" t="str">
        <x:v>Status</x:v>
      </x:c>
      <x:c r="G21" s="52" t="str">
        <x:v>Review point</x:v>
      </x:c>
    </x:row>
    <x:row r="22" ht="84" customHeight="1">
      <x:c r="A22" s="61" t="str">
        <x:v>P1</x:v>
      </x:c>
      <x:c r="B22" s="61" t="str">
        <x:v>Numerical IK fails to reach a valid solution.</x:v>
      </x:c>
      <x:c r="C22" s="61" t="str">
        <x:v>Position error above 1 mm, invalid joints, timeout or no solution.</x:v>
      </x:c>
      <x:c r="D22" s="61" t="str">
        <x:v>Check frames, joint order, limits and solver settings before network changes.</x:v>
      </x:c>
      <x:c r="E22" s="61" t="str">
        <x:v>Student</x:v>
      </x:c>
      <x:c r="F22" s="62" t="str">
        <x:v>Open</x:v>
      </x:c>
      <x:c r="G22" s="61" t="str">
        <x:v>Numerical baseline review</x:v>
      </x:c>
    </x:row>
    <x:row r="23" ht="84" customHeight="1">
      <x:c r="A23" s="56" t="str">
        <x:v>P2</x:v>
      </x:c>
      <x:c r="B23" s="56" t="str">
        <x:v>The neural network provides no measurable benefit.</x:v>
      </x:c>
      <x:c r="C23" s="56" t="str">
        <x:v>Same-budget comparisons show no improvement in convergence, reliability or time.</x:v>
      </x:c>
      <x:c r="D23" s="56" t="str">
        <x:v>Retain the numerical baseline and report the comparison transparently.</x:v>
      </x:c>
      <x:c r="E23" s="56" t="str">
        <x:v>Student</x:v>
      </x:c>
      <x:c r="F23" s="63" t="str">
        <x:v>Open</x:v>
      </x:c>
      <x:c r="G23" s="56" t="str">
        <x:v>Validation and final analysis</x:v>
      </x:c>
    </x:row>
    <x:row r="24" ht="84" customHeight="1">
      <x:c r="A24" s="57" t="str">
        <x:v>P3</x:v>
      </x:c>
      <x:c r="B24" s="57" t="str">
        <x:v>Data leakage or evaluation rules change.</x:v>
      </x:c>
      <x:c r="C24" s="57" t="str">
        <x:v>Overlap with test data, tuning on test outcomes, or unrecorded rule changes.</x:v>
      </x:c>
      <x:c r="D24" s="57" t="str">
        <x:v>Freeze data splits, methods and test rules. Keep every failed case in the results.</x:v>
      </x:c>
      <x:c r="E24" s="57" t="str">
        <x:v>Student</x:v>
      </x:c>
      <x:c r="F24" s="63" t="str">
        <x:v>Open</x:v>
      </x:c>
      <x:c r="G24" s="57" t="str">
        <x:v>Before independent testing</x:v>
      </x:c>
    </x:row>
    <x:row r="25" ht="84" customHeight="1">
      <x:c r="A25" s="56" t="str">
        <x:v>P4</x:v>
      </x:c>
      <x:c r="B25" s="56" t="str">
        <x:v>Project files or data are lost.</x:v>
      </x:c>
      <x:c r="C25" s="56" t="str">
        <x:v>Missing files, unavailable backups or version conflicts.</x:v>
      </x:c>
      <x:c r="D25" s="56" t="str">
        <x:v>Back up scripts, documents and datasets. Check that important files can be recovered.</x:v>
      </x:c>
      <x:c r="E25" s="56" t="str">
        <x:v>Student</x:v>
      </x:c>
      <x:c r="F25" s="63" t="str">
        <x:v>Open</x:v>
      </x:c>
      <x:c r="G25" s="56" t="str">
        <x:v>Regular progress reviews</x:v>
      </x:c>
    </x:row>
    <x:row r="26" ht="84" customHeight="1">
      <x:c r="A26" s="57" t="str">
        <x:v>P5</x:v>
      </x:c>
      <x:c r="B26" s="57" t="str">
        <x:v>Development or verification overruns the plan.</x:v>
      </x:c>
      <x:c r="C26" s="57" t="str">
        <x:v>A milestone slips or unresolved defects consume reserved time.</x:v>
      </x:c>
      <x:c r="D26" s="57" t="str">
        <x:v>Use the allocated contingency, revise the Gantt chart and review priorities with the supervisor.</x:v>
      </x:c>
      <x:c r="E26" s="57" t="str">
        <x:v>Student and supervisor</x:v>
      </x:c>
      <x:c r="F26" s="63" t="str">
        <x:v>Open</x:v>
      </x:c>
      <x:c r="G26" s="57" t="str">
        <x:v>Baseline and progress report</x:v>
      </x:c>
    </x:row>
    <x:row r="27" ht="5.25" customHeight="1">
      <x:c r="A27" s="2"/>
      <x:c r="B27" s="2"/>
      <x:c r="C27" s="2"/>
      <x:c r="D27" s="2"/>
      <x:c r="E27" s="2"/>
      <x:c r="F27" s="2"/>
      <x:c r="G27" s="2"/>
    </x:row>
    <x:row r="28" ht="22.5" customHeight="1">
      <x:c r="A28" s="5" t="str">
        <x:v>The 1 mm threshold is a research target. This register does not state that the project has already achieved it.</x:v>
      </x:c>
      <x:c r="B28" s="5"/>
      <x:c r="C28" s="5"/>
      <x:c r="D28" s="5"/>
      <x:c r="E28" s="5"/>
      <x:c r="F28" s="5"/>
      <x:c r="G28" s="5"/>
    </x:row>
    <x:row r="29" ht="18" customHeight="1">
      <x:c r="A29" s="5" t="str">
        <x:v>Source: EG-353 project outline, Project delivery risks and KUKA 1 mm research plan.</x:v>
      </x:c>
      <x:c r="B29" s="5"/>
      <x:c r="C29" s="5"/>
      <x:c r="D29" s="5"/>
      <x:c r="E29" s="5"/>
      <x:c r="F29" s="5"/>
      <x:c r="G29" s="5"/>
    </x:row>
    <x:row r="30" ht="5.25" customHeight="1">
      <x:c r="A30" s="2"/>
      <x:c r="B30" s="2"/>
      <x:c r="C30" s="2"/>
      <x:c r="D30" s="2"/>
      <x:c r="E30" s="2"/>
      <x:c r="F30" s="2"/>
      <x:c r="G30" s="2"/>
    </x:row>
    <x:row r="31" ht="18" customHeight="1">
      <x:c r="A31" s="2"/>
      <x:c r="B31" s="2"/>
      <x:c r="C31" s="2"/>
      <x:c r="D31" s="2"/>
      <x:c r="E31" s="2"/>
      <x:c r="F31" s="2"/>
      <x:c r="G31" s="2"/>
    </x:row>
    <x:row r="32" ht="18" customHeight="1">
      <x:c r="A32" s="2"/>
      <x:c r="B32" s="2"/>
      <x:c r="C32" s="2"/>
      <x:c r="D32" s="2"/>
      <x:c r="E32" s="2"/>
      <x:c r="F32" s="2"/>
      <x:c r="G32" s="2"/>
    </x:row>
    <x:row r="33" ht="18" customHeight="1">
      <x:c r="A33" s="2"/>
      <x:c r="B33" s="2"/>
      <x:c r="C33" s="2"/>
      <x:c r="D33" s="2"/>
      <x:c r="E33" s="2"/>
      <x:c r="F33" s="2"/>
      <x:c r="G33" s="2"/>
    </x:row>
  </x:sheetData>
  <x:mergeCells>
    <x:mergeCell ref="A2:G2"/>
    <x:mergeCell ref="A3:G3"/>
    <x:mergeCell ref="A13:G13"/>
    <x:mergeCell ref="A14:G14"/>
    <x:mergeCell ref="A18:G18"/>
    <x:mergeCell ref="A19:G19"/>
    <x:mergeCell ref="A28:G28"/>
    <x:mergeCell ref="A29:G29"/>
  </x:mergeCells>
  <x:conditionalFormatting sqref="E6:E11">
    <x:cfRule type="containsText" dxfId="5" priority="1" operator="containsText" text="Complete"/>
    <x:cfRule type="containsText" dxfId="6" priority="2" operator="containsText" text="Pending"/>
  </x:conditionalFormatting>
  <x:conditionalFormatting sqref="E6:G11">
    <x:cfRule type="expression" dxfId="7" priority="3">
      <x:formula>AND($E6="Complete",OR($F6="",$G6=""))</x:formula>
    </x:cfRule>
  </x:conditionalFormatting>
  <x:dataValidations count="2">
    <x:dataValidation type="list" sqref="E6:E11">
      <x:formula1>"To confirm,Pending review,In progress,Complete,Not applicable"</x:formula1>
    </x:dataValidation>
    <x:dataValidation type="list" sqref="F22:F26">
      <x:formula1>"Open,In progress,Closed,Not applicable"</x:formula1>
    </x:dataValidation>
  </x:dataValidations>
  <x:printOptions horizontalCentered="1" gridLines="0" headings="0"/>
  <x:pageMargins left="0.25" right="0.25" top="0.3" bottom="0.3" header="0.1" footer="0.1"/>
  <x:pageSetup paperSize="9" orientation="landscape" fitToWidth="1" fitToHeight="0"/>
  <x:rowBreaks count="1" manualBreakCount="1">
    <x:brk id="16" min="0" max="16383" man="1"/>
  </x:rowBreaks>
</x:worksheet>
</file>